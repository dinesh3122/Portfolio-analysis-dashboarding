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ineshrustagi/Desktop/Projects/"/>
    </mc:Choice>
  </mc:AlternateContent>
  <xr:revisionPtr revIDLastSave="0" documentId="13_ncr:1_{76DB0630-78A1-4E43-B6E0-4717FD96998C}" xr6:coauthVersionLast="47" xr6:coauthVersionMax="47" xr10:uidLastSave="{00000000-0000-0000-0000-000000000000}"/>
  <bookViews>
    <workbookView xWindow="-1860" yWindow="-22480" windowWidth="41640" windowHeight="20540" xr2:uid="{00000000-000D-0000-FFFF-FFFF00000000}"/>
  </bookViews>
  <sheets>
    <sheet name="Final Table" sheetId="19" r:id="rId1"/>
    <sheet name="Valuation Bins" sheetId="26" r:id="rId2"/>
    <sheet name="Portfolio Metrics" sheetId="20" r:id="rId3"/>
    <sheet name="Yearly IRR" sheetId="23" r:id="rId4"/>
    <sheet name="IRR" sheetId="10" r:id="rId5"/>
    <sheet name="US CPI" sheetId="9" r:id="rId6"/>
    <sheet name="SP500" sheetId="18" r:id="rId7"/>
    <sheet name="FX GBP USD" sheetId="8" r:id="rId8"/>
    <sheet name="FX EUR USD" sheetId="11" r:id="rId9"/>
    <sheet name="Randomized Data" sheetId="1" r:id="rId10"/>
  </sheets>
  <definedNames>
    <definedName name="_xlnm._FilterDatabase" localSheetId="9" hidden="1">'Randomized Data'!$A$4:$AI$4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0" l="1"/>
  <c r="O2" i="20"/>
  <c r="I9" i="1"/>
  <c r="C2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247" i="18"/>
  <c r="C248" i="18"/>
  <c r="C249" i="18"/>
  <c r="C250" i="18"/>
  <c r="C251" i="18"/>
  <c r="C252" i="18"/>
  <c r="C253" i="18"/>
  <c r="C254" i="18"/>
  <c r="C255" i="18"/>
  <c r="C256" i="18"/>
  <c r="C257" i="18"/>
  <c r="C258" i="18"/>
  <c r="C259" i="18"/>
  <c r="C260" i="18"/>
  <c r="C261" i="18"/>
  <c r="C262" i="18"/>
  <c r="C263" i="18"/>
  <c r="C264" i="18"/>
  <c r="C265" i="18"/>
  <c r="C266" i="18"/>
  <c r="C267" i="18"/>
  <c r="C268" i="18"/>
  <c r="C269" i="18"/>
  <c r="C270" i="18"/>
  <c r="C271" i="18"/>
  <c r="C272" i="18"/>
  <c r="C273" i="18"/>
  <c r="C274" i="18"/>
  <c r="C275" i="18"/>
  <c r="C276" i="18"/>
  <c r="C277" i="18"/>
  <c r="C278" i="18"/>
  <c r="C279" i="18"/>
  <c r="C280" i="18"/>
  <c r="C281" i="18"/>
  <c r="C282" i="18"/>
  <c r="C283" i="18"/>
  <c r="C284" i="18"/>
  <c r="C285" i="18"/>
  <c r="C286" i="18"/>
  <c r="C287" i="18"/>
  <c r="C288" i="18"/>
  <c r="C289" i="18"/>
  <c r="C290" i="18"/>
  <c r="C291" i="18"/>
  <c r="C292" i="18"/>
  <c r="C293" i="18"/>
  <c r="C294" i="18"/>
  <c r="C295" i="18"/>
  <c r="C296" i="18"/>
  <c r="C297" i="18"/>
  <c r="C298" i="18"/>
  <c r="C299" i="18"/>
  <c r="C300" i="18"/>
  <c r="C301" i="18"/>
  <c r="C302" i="18"/>
  <c r="C303" i="18"/>
  <c r="C304" i="18"/>
  <c r="C305" i="18"/>
  <c r="C306" i="18"/>
  <c r="C307" i="18"/>
  <c r="C308" i="18"/>
  <c r="C309" i="18"/>
  <c r="C310" i="18"/>
  <c r="C311" i="18"/>
  <c r="C312" i="18"/>
  <c r="C313" i="18"/>
  <c r="C314" i="18"/>
  <c r="C315" i="18"/>
  <c r="C316" i="18"/>
  <c r="C317" i="18"/>
  <c r="C318" i="18"/>
  <c r="C319" i="18"/>
  <c r="C320" i="18"/>
  <c r="C321" i="18"/>
  <c r="C322" i="18"/>
  <c r="C323" i="18"/>
  <c r="C324" i="18"/>
  <c r="C325" i="18"/>
  <c r="C326" i="18"/>
  <c r="C327" i="18"/>
  <c r="C328" i="18"/>
  <c r="C329" i="18"/>
  <c r="C330" i="18"/>
  <c r="C331" i="18"/>
  <c r="C332" i="18"/>
  <c r="C333" i="18"/>
  <c r="C334" i="18"/>
  <c r="C335" i="18"/>
  <c r="C336" i="18"/>
  <c r="C337" i="18"/>
  <c r="C338" i="18"/>
  <c r="C339" i="18"/>
  <c r="C340" i="18"/>
  <c r="C341" i="18"/>
  <c r="C342" i="18"/>
  <c r="C343" i="18"/>
  <c r="C344" i="18"/>
  <c r="C345" i="18"/>
  <c r="C346" i="18"/>
  <c r="C347" i="18"/>
  <c r="C348" i="18"/>
  <c r="C349" i="18"/>
  <c r="C350" i="18"/>
  <c r="C351" i="18"/>
  <c r="C352" i="18"/>
  <c r="C353" i="18"/>
  <c r="C354" i="18"/>
  <c r="C355" i="18"/>
  <c r="C356" i="18"/>
  <c r="C357" i="18"/>
  <c r="C358" i="18"/>
  <c r="C359" i="18"/>
  <c r="C360" i="18"/>
  <c r="C361" i="18"/>
  <c r="C362" i="18"/>
  <c r="C363" i="18"/>
  <c r="C364" i="18"/>
  <c r="C365" i="18"/>
  <c r="C366" i="18"/>
  <c r="C367" i="18"/>
  <c r="C368" i="18"/>
  <c r="C369" i="18"/>
  <c r="C370" i="18"/>
  <c r="C371" i="18"/>
  <c r="C372" i="18"/>
  <c r="C373" i="18"/>
  <c r="C374" i="18"/>
  <c r="C375" i="18"/>
  <c r="C376" i="18"/>
  <c r="C377" i="18"/>
  <c r="C378" i="18"/>
  <c r="C379" i="18"/>
  <c r="C380" i="18"/>
  <c r="C381" i="18"/>
  <c r="C382" i="18"/>
  <c r="C383" i="18"/>
  <c r="C384" i="18"/>
  <c r="C385" i="18"/>
  <c r="C386" i="18"/>
  <c r="C387" i="18"/>
  <c r="C388" i="18"/>
  <c r="C389" i="18"/>
  <c r="C390" i="18"/>
  <c r="C391" i="18"/>
  <c r="C392" i="18"/>
  <c r="C393" i="18"/>
  <c r="C394" i="18"/>
  <c r="C395" i="18"/>
  <c r="C396" i="18"/>
  <c r="C397" i="18"/>
  <c r="C398" i="18"/>
  <c r="C399" i="18"/>
  <c r="C400" i="18"/>
  <c r="C401" i="18"/>
  <c r="C402" i="18"/>
  <c r="C403" i="18"/>
  <c r="C404" i="18"/>
  <c r="C405" i="18"/>
  <c r="C406" i="18"/>
  <c r="C407" i="18"/>
  <c r="C408" i="18"/>
  <c r="C409" i="18"/>
  <c r="C410" i="18"/>
  <c r="C411" i="18"/>
  <c r="C412" i="18"/>
  <c r="C413" i="18"/>
  <c r="C414" i="18"/>
  <c r="C415" i="18"/>
  <c r="C416" i="18"/>
  <c r="C417" i="18"/>
  <c r="C418" i="18"/>
  <c r="C419" i="18"/>
  <c r="C420" i="18"/>
  <c r="C421" i="18"/>
  <c r="C422" i="18"/>
  <c r="C423" i="18"/>
  <c r="C424" i="18"/>
  <c r="C425" i="18"/>
  <c r="C426" i="18"/>
  <c r="C427" i="18"/>
  <c r="C428" i="18"/>
  <c r="C429" i="18"/>
  <c r="C430" i="18"/>
  <c r="C431" i="18"/>
  <c r="C432" i="18"/>
  <c r="C433" i="18"/>
  <c r="C434" i="18"/>
  <c r="C435" i="18"/>
  <c r="C436" i="18"/>
  <c r="C437" i="18"/>
  <c r="C438" i="18"/>
  <c r="C439" i="18"/>
  <c r="C440" i="18"/>
  <c r="C441" i="18"/>
  <c r="C442" i="18"/>
  <c r="C443" i="18"/>
  <c r="C444" i="18"/>
  <c r="C445" i="18"/>
  <c r="C446" i="18"/>
  <c r="C447" i="18"/>
  <c r="C448" i="18"/>
  <c r="C449" i="18"/>
  <c r="C450" i="18"/>
  <c r="C451" i="18"/>
  <c r="C452" i="18"/>
  <c r="C453" i="18"/>
  <c r="C454" i="18"/>
  <c r="C455" i="18"/>
  <c r="C456" i="18"/>
  <c r="C457" i="18"/>
  <c r="C458" i="18"/>
  <c r="C459" i="18"/>
  <c r="C460" i="18"/>
  <c r="C461" i="18"/>
  <c r="C462" i="18"/>
  <c r="C463" i="18"/>
  <c r="C464" i="18"/>
  <c r="C465" i="18"/>
  <c r="C466" i="18"/>
  <c r="C467" i="18"/>
  <c r="C468" i="18"/>
  <c r="C469" i="18"/>
  <c r="C470" i="18"/>
  <c r="C471" i="18"/>
  <c r="C472" i="18"/>
  <c r="C473" i="18"/>
  <c r="C474" i="18"/>
  <c r="C475" i="18"/>
  <c r="C476" i="18"/>
  <c r="C477" i="18"/>
  <c r="C478" i="18"/>
  <c r="C479" i="18"/>
  <c r="C480" i="18"/>
  <c r="C481" i="18"/>
  <c r="C482" i="18"/>
  <c r="C483" i="18"/>
  <c r="C484" i="18"/>
  <c r="C485" i="18"/>
  <c r="C486" i="18"/>
  <c r="C487" i="18"/>
  <c r="C488" i="18"/>
  <c r="C489" i="18"/>
  <c r="C490" i="18"/>
  <c r="C491" i="18"/>
  <c r="C492" i="18"/>
  <c r="C493" i="18"/>
  <c r="C494" i="18"/>
  <c r="C495" i="18"/>
  <c r="C496" i="18"/>
  <c r="C497" i="18"/>
  <c r="C498" i="18"/>
  <c r="C499" i="18"/>
  <c r="C500" i="18"/>
  <c r="C501" i="18"/>
  <c r="C502" i="18"/>
  <c r="C503" i="18"/>
  <c r="C504" i="18"/>
  <c r="C505" i="18"/>
  <c r="C506" i="18"/>
  <c r="C507" i="18"/>
  <c r="C508" i="18"/>
  <c r="C509" i="18"/>
  <c r="C510" i="18"/>
  <c r="C511" i="18"/>
  <c r="C512" i="18"/>
  <c r="C513" i="18"/>
  <c r="C514" i="18"/>
  <c r="C515" i="18"/>
  <c r="C516" i="18"/>
  <c r="C517" i="18"/>
  <c r="C518" i="18"/>
  <c r="C519" i="18"/>
  <c r="C520" i="18"/>
  <c r="C521" i="18"/>
  <c r="C522" i="18"/>
  <c r="C523" i="18"/>
  <c r="C524" i="18"/>
  <c r="C525" i="18"/>
  <c r="C526" i="18"/>
  <c r="C527" i="18"/>
  <c r="C528" i="18"/>
  <c r="C529" i="18"/>
  <c r="C530" i="18"/>
  <c r="C531" i="18"/>
  <c r="C532" i="18"/>
  <c r="C533" i="18"/>
  <c r="C534" i="18"/>
  <c r="C535" i="18"/>
  <c r="C536" i="18"/>
  <c r="C537" i="18"/>
  <c r="C538" i="18"/>
  <c r="C539" i="18"/>
  <c r="C540" i="18"/>
  <c r="C541" i="18"/>
  <c r="C542" i="18"/>
  <c r="C543" i="18"/>
  <c r="C544" i="18"/>
  <c r="C545" i="18"/>
  <c r="C546" i="18"/>
  <c r="C547" i="18"/>
  <c r="C548" i="18"/>
  <c r="C549" i="18"/>
  <c r="C550" i="18"/>
  <c r="C551" i="18"/>
  <c r="C552" i="18"/>
  <c r="C553" i="18"/>
  <c r="C554" i="18"/>
  <c r="C555" i="18"/>
  <c r="C556" i="18"/>
  <c r="C557" i="18"/>
  <c r="C558" i="18"/>
  <c r="C559" i="18"/>
  <c r="C560" i="18"/>
  <c r="C561" i="18"/>
  <c r="C562" i="18"/>
  <c r="C563" i="18"/>
  <c r="C564" i="18"/>
  <c r="C565" i="18"/>
  <c r="C566" i="18"/>
  <c r="C567" i="18"/>
  <c r="C568" i="18"/>
  <c r="C569" i="18"/>
  <c r="C570" i="18"/>
  <c r="C571" i="18"/>
  <c r="C572" i="18"/>
  <c r="C573" i="18"/>
  <c r="C574" i="18"/>
  <c r="C575" i="18"/>
  <c r="C576" i="18"/>
  <c r="C577" i="18"/>
  <c r="C578" i="18"/>
  <c r="C579" i="18"/>
  <c r="C580" i="18"/>
  <c r="C581" i="18"/>
  <c r="C582" i="18"/>
  <c r="C583" i="18"/>
  <c r="C584" i="18"/>
  <c r="C585" i="18"/>
  <c r="C586" i="18"/>
  <c r="C587" i="18"/>
  <c r="C588" i="18"/>
  <c r="C589" i="18"/>
  <c r="C590" i="18"/>
  <c r="C591" i="18"/>
  <c r="C592" i="18"/>
  <c r="C593" i="18"/>
  <c r="C594" i="18"/>
  <c r="C595" i="18"/>
  <c r="C596" i="18"/>
  <c r="C597" i="18"/>
  <c r="C598" i="18"/>
  <c r="C599" i="18"/>
  <c r="C600" i="18"/>
  <c r="C601" i="18"/>
  <c r="C602" i="18"/>
  <c r="C603" i="18"/>
  <c r="C604" i="18"/>
  <c r="C605" i="18"/>
  <c r="C606" i="18"/>
  <c r="C607" i="18"/>
  <c r="C608" i="18"/>
  <c r="C609" i="18"/>
  <c r="C610" i="18"/>
  <c r="C611" i="18"/>
  <c r="C612" i="18"/>
  <c r="C613" i="18"/>
  <c r="C614" i="18"/>
  <c r="C615" i="18"/>
  <c r="C616" i="18"/>
  <c r="C617" i="18"/>
  <c r="C618" i="18"/>
  <c r="C619" i="18"/>
  <c r="C620" i="18"/>
  <c r="C621" i="18"/>
  <c r="C622" i="18"/>
  <c r="C623" i="18"/>
  <c r="C624" i="18"/>
  <c r="C625" i="18"/>
  <c r="C626" i="18"/>
  <c r="C627" i="18"/>
  <c r="C628" i="18"/>
  <c r="C629" i="18"/>
  <c r="C630" i="18"/>
  <c r="C631" i="18"/>
  <c r="C632" i="18"/>
  <c r="C633" i="18"/>
  <c r="C634" i="18"/>
  <c r="C635" i="18"/>
  <c r="C636" i="18"/>
  <c r="C637" i="18"/>
  <c r="C638" i="18"/>
  <c r="C639" i="18"/>
  <c r="C640" i="18"/>
  <c r="C641" i="18"/>
  <c r="C642" i="18"/>
  <c r="C643" i="18"/>
  <c r="C644" i="18"/>
  <c r="C645" i="18"/>
  <c r="C646" i="18"/>
  <c r="C647" i="18"/>
  <c r="C648" i="18"/>
  <c r="C649" i="18"/>
  <c r="C650" i="18"/>
  <c r="C651" i="18"/>
  <c r="C652" i="18"/>
  <c r="C653" i="18"/>
  <c r="C654" i="18"/>
  <c r="C655" i="18"/>
  <c r="C656" i="18"/>
  <c r="C657" i="18"/>
  <c r="C658" i="18"/>
  <c r="C659" i="18"/>
  <c r="C660" i="18"/>
  <c r="C661" i="18"/>
  <c r="C662" i="18"/>
  <c r="C663" i="18"/>
  <c r="C664" i="18"/>
  <c r="C665" i="18"/>
  <c r="C666" i="18"/>
  <c r="C667" i="18"/>
  <c r="C668" i="18"/>
  <c r="C669" i="18"/>
  <c r="C670" i="18"/>
  <c r="C671" i="18"/>
  <c r="C672" i="18"/>
  <c r="C673" i="18"/>
  <c r="C674" i="18"/>
  <c r="C675" i="18"/>
  <c r="C676" i="18"/>
  <c r="C677" i="18"/>
  <c r="C678" i="18"/>
  <c r="C679" i="18"/>
  <c r="C680" i="18"/>
  <c r="C681" i="18"/>
  <c r="C682" i="18"/>
  <c r="C683" i="18"/>
  <c r="C684" i="18"/>
  <c r="C685" i="18"/>
  <c r="C686" i="18"/>
  <c r="C687" i="18"/>
  <c r="C688" i="18"/>
  <c r="C689" i="18"/>
  <c r="C690" i="18"/>
  <c r="C691" i="18"/>
  <c r="C692" i="18"/>
  <c r="C693" i="18"/>
  <c r="C694" i="18"/>
  <c r="C695" i="18"/>
  <c r="C696" i="18"/>
  <c r="C697" i="18"/>
  <c r="C698" i="18"/>
  <c r="C699" i="18"/>
  <c r="C700" i="18"/>
  <c r="C701" i="18"/>
  <c r="C702" i="18"/>
  <c r="C703" i="18"/>
  <c r="C704" i="18"/>
  <c r="C705" i="18"/>
  <c r="C706" i="18"/>
  <c r="C707" i="18"/>
  <c r="C708" i="18"/>
  <c r="C709" i="18"/>
  <c r="C710" i="18"/>
  <c r="C711" i="18"/>
  <c r="C712" i="18"/>
  <c r="C713" i="18"/>
  <c r="C714" i="18"/>
  <c r="C715" i="18"/>
  <c r="C716" i="18"/>
  <c r="C717" i="18"/>
  <c r="C718" i="18"/>
  <c r="C719" i="18"/>
  <c r="C720" i="18"/>
  <c r="C721" i="18"/>
  <c r="C722" i="18"/>
  <c r="C723" i="18"/>
  <c r="C724" i="18"/>
  <c r="C725" i="18"/>
  <c r="C726" i="18"/>
  <c r="C727" i="18"/>
  <c r="C728" i="18"/>
  <c r="C729" i="18"/>
  <c r="C730" i="18"/>
  <c r="C731" i="18"/>
  <c r="C732" i="18"/>
  <c r="C733" i="18"/>
  <c r="C734" i="18"/>
  <c r="C735" i="18"/>
  <c r="C736" i="18"/>
  <c r="C737" i="18"/>
  <c r="C738" i="18"/>
  <c r="C739" i="18"/>
  <c r="C740" i="18"/>
  <c r="C741" i="18"/>
  <c r="C742" i="18"/>
  <c r="C743" i="18"/>
  <c r="C744" i="18"/>
  <c r="C745" i="18"/>
  <c r="C746" i="18"/>
  <c r="C747" i="18"/>
  <c r="C748" i="18"/>
  <c r="C749" i="18"/>
  <c r="C750" i="18"/>
  <c r="C751" i="18"/>
  <c r="C752" i="18"/>
  <c r="C753" i="18"/>
  <c r="C754" i="18"/>
  <c r="C755" i="18"/>
  <c r="C756" i="18"/>
  <c r="C757" i="18"/>
  <c r="C758" i="18"/>
  <c r="C759" i="18"/>
  <c r="C760" i="18"/>
  <c r="C761" i="18"/>
  <c r="C762" i="18"/>
  <c r="C763" i="18"/>
  <c r="C764" i="18"/>
  <c r="C765" i="18"/>
  <c r="C766" i="18"/>
  <c r="C767" i="18"/>
  <c r="C768" i="18"/>
  <c r="C769" i="18"/>
  <c r="C770" i="18"/>
  <c r="C771" i="18"/>
  <c r="C772" i="18"/>
  <c r="C773" i="18"/>
  <c r="C774" i="18"/>
  <c r="C775" i="18"/>
  <c r="C776" i="18"/>
  <c r="C777" i="18"/>
  <c r="C778" i="18"/>
  <c r="C779" i="18"/>
  <c r="C780" i="18"/>
  <c r="C781" i="18"/>
  <c r="C782" i="18"/>
  <c r="C783" i="18"/>
  <c r="C784" i="18"/>
  <c r="C785" i="18"/>
  <c r="C786" i="18"/>
  <c r="C787" i="18"/>
  <c r="C788" i="18"/>
  <c r="C789" i="18"/>
  <c r="C790" i="18"/>
  <c r="C791" i="18"/>
  <c r="C792" i="18"/>
  <c r="C793" i="18"/>
  <c r="C794" i="18"/>
  <c r="C795" i="18"/>
  <c r="C796" i="18"/>
  <c r="C797" i="18"/>
  <c r="C798" i="18"/>
  <c r="C799" i="18"/>
  <c r="C800" i="18"/>
  <c r="C801" i="18"/>
  <c r="C802" i="18"/>
  <c r="C803" i="18"/>
  <c r="C804" i="18"/>
  <c r="C805" i="18"/>
  <c r="C806" i="18"/>
  <c r="C807" i="18"/>
  <c r="C808" i="18"/>
  <c r="C809" i="18"/>
  <c r="C810" i="18"/>
  <c r="C811" i="18"/>
  <c r="C812" i="18"/>
  <c r="C813" i="18"/>
  <c r="C814" i="18"/>
  <c r="C815" i="18"/>
  <c r="C816" i="18"/>
  <c r="C817" i="18"/>
  <c r="C818" i="18"/>
  <c r="C819" i="18"/>
  <c r="C820" i="18"/>
  <c r="C821" i="18"/>
  <c r="C822" i="18"/>
  <c r="C823" i="18"/>
  <c r="C824" i="18"/>
  <c r="C825" i="18"/>
  <c r="C826" i="18"/>
  <c r="C827" i="18"/>
  <c r="C828" i="18"/>
  <c r="C829" i="18"/>
  <c r="C830" i="18"/>
  <c r="C831" i="18"/>
  <c r="C832" i="18"/>
  <c r="C833" i="18"/>
  <c r="C834" i="18"/>
  <c r="C835" i="18"/>
  <c r="C836" i="18"/>
  <c r="C837" i="18"/>
  <c r="C838" i="18"/>
  <c r="C839" i="18"/>
  <c r="C840" i="18"/>
  <c r="C841" i="18"/>
  <c r="C842" i="18"/>
  <c r="C843" i="18"/>
  <c r="C844" i="18"/>
  <c r="C845" i="18"/>
  <c r="C846" i="18"/>
  <c r="C847" i="18"/>
  <c r="C848" i="18"/>
  <c r="C849" i="18"/>
  <c r="C850" i="18"/>
  <c r="C851" i="18"/>
  <c r="C852" i="18"/>
  <c r="C853" i="18"/>
  <c r="C854" i="18"/>
  <c r="C855" i="18"/>
  <c r="C856" i="18"/>
  <c r="C857" i="18"/>
  <c r="C858" i="18"/>
  <c r="C859" i="18"/>
  <c r="C860" i="18"/>
  <c r="C861" i="18"/>
  <c r="C862" i="18"/>
  <c r="C863" i="18"/>
  <c r="C864" i="18"/>
  <c r="C865" i="18"/>
  <c r="C866" i="18"/>
  <c r="C867" i="18"/>
  <c r="C868" i="18"/>
  <c r="C869" i="18"/>
  <c r="C870" i="18"/>
  <c r="C871" i="18"/>
  <c r="C872" i="18"/>
  <c r="C873" i="18"/>
  <c r="C874" i="18"/>
  <c r="C875" i="18"/>
  <c r="C876" i="18"/>
  <c r="C877" i="18"/>
  <c r="C878" i="18"/>
  <c r="C879" i="18"/>
  <c r="C880" i="18"/>
  <c r="C881" i="18"/>
  <c r="C882" i="18"/>
  <c r="C883" i="18"/>
  <c r="C884" i="18"/>
  <c r="C885" i="18"/>
  <c r="C886" i="18"/>
  <c r="C887" i="18"/>
  <c r="C888" i="18"/>
  <c r="C889" i="18"/>
  <c r="C890" i="18"/>
  <c r="C891" i="18"/>
  <c r="C892" i="18"/>
  <c r="C893" i="18"/>
  <c r="C894" i="18"/>
  <c r="C895" i="18"/>
  <c r="C896" i="18"/>
  <c r="C897" i="18"/>
  <c r="C898" i="18"/>
  <c r="C899" i="18"/>
  <c r="C900" i="18"/>
  <c r="C901" i="18"/>
  <c r="C902" i="18"/>
  <c r="C903" i="18"/>
  <c r="C904" i="18"/>
  <c r="C905" i="18"/>
  <c r="C906" i="18"/>
  <c r="C907" i="18"/>
  <c r="C908" i="18"/>
  <c r="C909" i="18"/>
  <c r="C910" i="18"/>
  <c r="C911" i="18"/>
  <c r="C912" i="18"/>
  <c r="C913" i="18"/>
  <c r="C914" i="18"/>
  <c r="C915" i="18"/>
  <c r="C916" i="18"/>
  <c r="C917" i="18"/>
  <c r="C918" i="18"/>
  <c r="C919" i="18"/>
  <c r="C920" i="18"/>
  <c r="C921" i="18"/>
  <c r="C922" i="18"/>
  <c r="C923" i="18"/>
  <c r="C924" i="18"/>
  <c r="C925" i="18"/>
  <c r="C926" i="18"/>
  <c r="C927" i="18"/>
  <c r="C928" i="18"/>
  <c r="C929" i="18"/>
  <c r="C930" i="18"/>
  <c r="C931" i="18"/>
  <c r="C932" i="18"/>
  <c r="C933" i="18"/>
  <c r="C934" i="18"/>
  <c r="C935" i="18"/>
  <c r="C936" i="18"/>
  <c r="C937" i="18"/>
  <c r="C938" i="18"/>
  <c r="C939" i="18"/>
  <c r="C940" i="18"/>
  <c r="C941" i="18"/>
  <c r="C942" i="18"/>
  <c r="C943" i="18"/>
  <c r="C944" i="18"/>
  <c r="C945" i="18"/>
  <c r="C946" i="18"/>
  <c r="C947" i="18"/>
  <c r="C948" i="18"/>
  <c r="C949" i="18"/>
  <c r="C950" i="18"/>
  <c r="C951" i="18"/>
  <c r="C952" i="18"/>
  <c r="C953" i="18"/>
  <c r="C954" i="18"/>
  <c r="C955" i="18"/>
  <c r="C956" i="18"/>
  <c r="C957" i="18"/>
  <c r="C958" i="18"/>
  <c r="C959" i="18"/>
  <c r="C960" i="18"/>
  <c r="C961" i="18"/>
  <c r="C962" i="18"/>
  <c r="C963" i="18"/>
  <c r="C964" i="18"/>
  <c r="C965" i="18"/>
  <c r="C966" i="18"/>
  <c r="C967" i="18"/>
  <c r="C968" i="18"/>
  <c r="C969" i="18"/>
  <c r="C970" i="18"/>
  <c r="C971" i="18"/>
  <c r="C972" i="18"/>
  <c r="C973" i="18"/>
  <c r="C974" i="18"/>
  <c r="C975" i="18"/>
  <c r="C976" i="18"/>
  <c r="C977" i="18"/>
  <c r="C978" i="18"/>
  <c r="C979" i="18"/>
  <c r="C980" i="18"/>
  <c r="C981" i="18"/>
  <c r="C982" i="18"/>
  <c r="C983" i="18"/>
  <c r="C984" i="18"/>
  <c r="C985" i="18"/>
  <c r="C986" i="18"/>
  <c r="C987" i="18"/>
  <c r="C988" i="18"/>
  <c r="C989" i="18"/>
  <c r="C990" i="18"/>
  <c r="C991" i="18"/>
  <c r="C992" i="18"/>
  <c r="C993" i="18"/>
  <c r="C994" i="18"/>
  <c r="C995" i="18"/>
  <c r="C996" i="18"/>
  <c r="C997" i="18"/>
  <c r="C998" i="18"/>
  <c r="C999" i="18"/>
  <c r="C1000" i="18"/>
  <c r="C1001" i="18"/>
  <c r="C1002" i="18"/>
  <c r="C1003" i="18"/>
  <c r="C1004" i="18"/>
  <c r="C1005" i="18"/>
  <c r="C1006" i="18"/>
  <c r="C1007" i="18"/>
  <c r="C1008" i="18"/>
  <c r="C1009" i="18"/>
  <c r="C1010" i="18"/>
  <c r="C1011" i="18"/>
  <c r="C1012" i="18"/>
  <c r="C1013" i="18"/>
  <c r="C1014" i="18"/>
  <c r="C1015" i="18"/>
  <c r="C1016" i="18"/>
  <c r="C1017" i="18"/>
  <c r="C1018" i="18"/>
  <c r="C1019" i="18"/>
  <c r="C1020" i="18"/>
  <c r="C1021" i="18"/>
  <c r="C1022" i="18"/>
  <c r="C1023" i="18"/>
  <c r="C1024" i="18"/>
  <c r="C1025" i="18"/>
  <c r="C1026" i="18"/>
  <c r="C1027" i="18"/>
  <c r="C1028" i="18"/>
  <c r="C1029" i="18"/>
  <c r="C1030" i="18"/>
  <c r="C1031" i="18"/>
  <c r="C1032" i="18"/>
  <c r="C1033" i="18"/>
  <c r="C1034" i="18"/>
  <c r="C1035" i="18"/>
  <c r="C1036" i="18"/>
  <c r="C1037" i="18"/>
  <c r="C1038" i="18"/>
  <c r="C1039" i="18"/>
  <c r="C1040" i="18"/>
  <c r="C1041" i="18"/>
  <c r="C1042" i="18"/>
  <c r="C1043" i="18"/>
  <c r="C1044" i="18"/>
  <c r="C1045" i="18"/>
  <c r="C1046" i="18"/>
  <c r="C1047" i="18"/>
  <c r="C1048" i="18"/>
  <c r="C1049" i="18"/>
  <c r="C1050" i="18"/>
  <c r="C1051" i="18"/>
  <c r="C1052" i="18"/>
  <c r="C1053" i="18"/>
  <c r="C1054" i="18"/>
  <c r="C1055" i="18"/>
  <c r="C1056" i="18"/>
  <c r="C1057" i="18"/>
  <c r="C1058" i="18"/>
  <c r="C1059" i="18"/>
  <c r="C1060" i="18"/>
  <c r="C1061" i="18"/>
  <c r="C1062" i="18"/>
  <c r="C1063" i="18"/>
  <c r="C1064" i="18"/>
  <c r="C1065" i="18"/>
  <c r="C1066" i="18"/>
  <c r="C1067" i="18"/>
  <c r="C1068" i="18"/>
  <c r="C1069" i="18"/>
  <c r="C1070" i="18"/>
  <c r="C1071" i="18"/>
  <c r="C1072" i="18"/>
  <c r="C1073" i="18"/>
  <c r="C1074" i="18"/>
  <c r="C1075" i="18"/>
  <c r="C1076" i="18"/>
  <c r="C1077" i="18"/>
  <c r="C1078" i="18"/>
  <c r="C1079" i="18"/>
  <c r="C1080" i="18"/>
  <c r="C1081" i="18"/>
  <c r="C1082" i="18"/>
  <c r="C1083" i="18"/>
  <c r="C1084" i="18"/>
  <c r="C1085" i="18"/>
  <c r="C1086" i="18"/>
  <c r="C1087" i="18"/>
  <c r="C1088" i="18"/>
  <c r="C1089" i="18"/>
  <c r="C1090" i="18"/>
  <c r="C1091" i="18"/>
  <c r="C1092" i="18"/>
  <c r="C1093" i="18"/>
  <c r="C1094" i="18"/>
  <c r="C1095" i="18"/>
  <c r="C1096" i="18"/>
  <c r="C1097" i="18"/>
  <c r="C1098" i="18"/>
  <c r="C1099" i="18"/>
  <c r="C1100" i="18"/>
  <c r="C1101" i="18"/>
  <c r="C1102" i="18"/>
  <c r="C1103" i="18"/>
  <c r="C1104" i="18"/>
  <c r="C1105" i="18"/>
  <c r="C1106" i="18"/>
  <c r="C1107" i="18"/>
  <c r="C1108" i="18"/>
  <c r="C1109" i="18"/>
  <c r="C1110" i="18"/>
  <c r="C1111" i="18"/>
  <c r="C1112" i="18"/>
  <c r="C1113" i="18"/>
  <c r="C1114" i="18"/>
  <c r="C1115" i="18"/>
  <c r="C1116" i="18"/>
  <c r="C1117" i="18"/>
  <c r="C1118" i="18"/>
  <c r="C1119" i="18"/>
  <c r="C1120" i="18"/>
  <c r="C1121" i="18"/>
  <c r="C1122" i="18"/>
  <c r="C1123" i="18"/>
  <c r="C1124" i="18"/>
  <c r="C1125" i="18"/>
  <c r="C1126" i="18"/>
  <c r="C1127" i="18"/>
  <c r="C1128" i="18"/>
  <c r="C1129" i="18"/>
  <c r="C1130" i="18"/>
  <c r="C1131" i="18"/>
  <c r="C1132" i="18"/>
  <c r="C1133" i="18"/>
  <c r="C1134" i="18"/>
  <c r="C1135" i="18"/>
  <c r="C1136" i="18"/>
  <c r="C1137" i="18"/>
  <c r="C1138" i="18"/>
  <c r="C1139" i="18"/>
  <c r="C1140" i="18"/>
  <c r="C1141" i="18"/>
  <c r="C1142" i="18"/>
  <c r="C1143" i="18"/>
  <c r="C1144" i="18"/>
  <c r="C1145" i="18"/>
  <c r="C1146" i="18"/>
  <c r="C1147" i="18"/>
  <c r="C1148" i="18"/>
  <c r="C1149" i="18"/>
  <c r="C1150" i="18"/>
  <c r="C1151" i="18"/>
  <c r="C1152" i="18"/>
  <c r="C1153" i="18"/>
  <c r="C1154" i="18"/>
  <c r="C1155" i="18"/>
  <c r="C1156" i="18"/>
  <c r="C1157" i="18"/>
  <c r="C1158" i="18"/>
  <c r="C1159" i="18"/>
  <c r="C1160" i="18"/>
  <c r="C1161" i="18"/>
  <c r="C1162" i="18"/>
  <c r="C1163" i="18"/>
  <c r="C1164" i="18"/>
  <c r="C1165" i="18"/>
  <c r="C1166" i="18"/>
  <c r="C1167" i="18"/>
  <c r="C1168" i="18"/>
  <c r="C1169" i="18"/>
  <c r="C1170" i="18"/>
  <c r="C1171" i="18"/>
  <c r="C1172" i="18"/>
  <c r="C1173" i="18"/>
  <c r="C1174" i="18"/>
  <c r="C1175" i="18"/>
  <c r="C1176" i="18"/>
  <c r="C1177" i="18"/>
  <c r="C1178" i="18"/>
  <c r="C1179" i="18"/>
  <c r="C1180" i="18"/>
  <c r="C1181" i="18"/>
  <c r="C1182" i="18"/>
  <c r="C1183" i="18"/>
  <c r="C1184" i="18"/>
  <c r="C1185" i="18"/>
  <c r="C1186" i="18"/>
  <c r="C1187" i="18"/>
  <c r="C1188" i="18"/>
  <c r="C1189" i="18"/>
  <c r="C1190" i="18"/>
  <c r="C1191" i="18"/>
  <c r="C1192" i="18"/>
  <c r="C1193" i="18"/>
  <c r="C1194" i="18"/>
  <c r="C1195" i="18"/>
  <c r="C1196" i="18"/>
  <c r="C1197" i="18"/>
  <c r="C1198" i="18"/>
  <c r="C1199" i="18"/>
  <c r="C1200" i="18"/>
  <c r="C1201" i="18"/>
  <c r="C1202" i="18"/>
  <c r="C1203" i="18"/>
  <c r="C1204" i="18"/>
  <c r="C1205" i="18"/>
  <c r="C1206" i="18"/>
  <c r="C1207" i="18"/>
  <c r="C1208" i="18"/>
  <c r="C1209" i="18"/>
  <c r="C1210" i="18"/>
  <c r="C1211" i="18"/>
  <c r="C1212" i="18"/>
  <c r="C1213" i="18"/>
  <c r="C1214" i="18"/>
  <c r="C1215" i="18"/>
  <c r="C1216" i="18"/>
  <c r="C1217" i="18"/>
  <c r="C1218" i="18"/>
  <c r="C1219" i="18"/>
  <c r="C1220" i="18"/>
  <c r="C1221" i="18"/>
  <c r="C1222" i="18"/>
  <c r="C1223" i="18"/>
  <c r="C1224" i="18"/>
  <c r="C1225" i="18"/>
  <c r="C1226" i="18"/>
  <c r="C1227" i="18"/>
  <c r="C1228" i="18"/>
  <c r="C1229" i="18"/>
  <c r="C1230" i="18"/>
  <c r="C1231" i="18"/>
  <c r="C1232" i="18"/>
  <c r="C1233" i="18"/>
  <c r="C1234" i="18"/>
  <c r="C1235" i="18"/>
  <c r="C1236" i="18"/>
  <c r="C1237" i="18"/>
  <c r="C1238" i="18"/>
  <c r="C1239" i="18"/>
  <c r="C1240" i="18"/>
  <c r="C1241" i="18"/>
  <c r="C1242" i="18"/>
  <c r="C1243" i="18"/>
  <c r="C1244" i="18"/>
  <c r="C1245" i="18"/>
  <c r="C1246" i="18"/>
  <c r="C1247" i="18"/>
  <c r="C1248" i="18"/>
  <c r="C1249" i="18"/>
  <c r="C1250" i="18"/>
  <c r="C1251" i="18"/>
  <c r="C1252" i="18"/>
  <c r="C1253" i="18"/>
  <c r="C1254" i="18"/>
  <c r="C1255" i="18"/>
  <c r="C1256" i="18"/>
  <c r="C1257" i="18"/>
  <c r="C1258" i="18"/>
  <c r="C1259" i="18"/>
  <c r="C1260" i="18"/>
  <c r="C1261" i="18"/>
  <c r="C1262" i="18"/>
  <c r="C1263" i="18"/>
  <c r="C1264" i="18"/>
  <c r="C1265" i="18"/>
  <c r="C1266" i="18"/>
  <c r="C1267" i="18"/>
  <c r="C1268" i="18"/>
  <c r="C1269" i="18"/>
  <c r="C1270" i="18"/>
  <c r="C1271" i="18"/>
  <c r="C1272" i="18"/>
  <c r="C1273" i="18"/>
  <c r="C1274" i="18"/>
  <c r="C1275" i="18"/>
  <c r="C1276" i="18"/>
  <c r="C1277" i="18"/>
  <c r="C1278" i="18"/>
  <c r="C1279" i="18"/>
  <c r="C1280" i="18"/>
  <c r="C1281" i="18"/>
  <c r="C1282" i="18"/>
  <c r="C1283" i="18"/>
  <c r="C1284" i="18"/>
  <c r="C1285" i="18"/>
  <c r="C1286" i="18"/>
  <c r="C1287" i="18"/>
  <c r="C1288" i="18"/>
  <c r="C1289" i="18"/>
  <c r="C1290" i="18"/>
  <c r="C1291" i="18"/>
  <c r="C1292" i="18"/>
  <c r="C1293" i="18"/>
  <c r="C1294" i="18"/>
  <c r="C1295" i="18"/>
  <c r="C1296" i="18"/>
  <c r="C1297" i="18"/>
  <c r="C1298" i="18"/>
  <c r="C1299" i="18"/>
  <c r="C1300" i="18"/>
  <c r="C1301" i="18"/>
  <c r="C1302" i="18"/>
  <c r="C1303" i="18"/>
  <c r="C1304" i="18"/>
  <c r="C1305" i="18"/>
  <c r="C1306" i="18"/>
  <c r="C1307" i="18"/>
  <c r="C1308" i="18"/>
  <c r="C1309" i="18"/>
  <c r="C1310" i="18"/>
  <c r="C1311" i="18"/>
  <c r="C1312" i="18"/>
  <c r="C1313" i="18"/>
  <c r="C1314" i="18"/>
  <c r="C1315" i="18"/>
  <c r="C1316" i="18"/>
  <c r="C1317" i="18"/>
  <c r="C1318" i="18"/>
  <c r="C1319" i="18"/>
  <c r="C1320" i="18"/>
  <c r="C1321" i="18"/>
  <c r="C1322" i="18"/>
  <c r="C1323" i="18"/>
  <c r="C1324" i="18"/>
  <c r="C1325" i="18"/>
  <c r="C1326" i="18"/>
  <c r="C1327" i="18"/>
  <c r="C1328" i="18"/>
  <c r="C1329" i="18"/>
  <c r="C1330" i="18"/>
  <c r="C1331" i="18"/>
  <c r="C1332" i="18"/>
  <c r="C1333" i="18"/>
  <c r="C1334" i="18"/>
  <c r="C1335" i="18"/>
  <c r="C1336" i="18"/>
  <c r="C1337" i="18"/>
  <c r="C1338" i="18"/>
  <c r="C1339" i="18"/>
  <c r="C1340" i="18"/>
  <c r="C1341" i="18"/>
  <c r="C1342" i="18"/>
  <c r="C1343" i="18"/>
  <c r="C1344" i="18"/>
  <c r="C1345" i="18"/>
  <c r="C1346" i="18"/>
  <c r="C1347" i="18"/>
  <c r="C1348" i="18"/>
  <c r="C1349" i="18"/>
  <c r="C1350" i="18"/>
  <c r="C1351" i="18"/>
  <c r="C1352" i="18"/>
  <c r="C1353" i="18"/>
  <c r="C1354" i="18"/>
  <c r="C1355" i="18"/>
  <c r="C1356" i="18"/>
  <c r="C1357" i="18"/>
  <c r="C1358" i="18"/>
  <c r="C1359" i="18"/>
  <c r="C1360" i="18"/>
  <c r="C1361" i="18"/>
  <c r="C1362" i="18"/>
  <c r="C1363" i="18"/>
  <c r="C1364" i="18"/>
  <c r="C1365" i="18"/>
  <c r="C1366" i="18"/>
  <c r="C1367" i="18"/>
  <c r="C1368" i="18"/>
  <c r="C1369" i="18"/>
  <c r="C1370" i="18"/>
  <c r="C1371" i="18"/>
  <c r="C1372" i="18"/>
  <c r="C1373" i="18"/>
  <c r="C1374" i="18"/>
  <c r="C1375" i="18"/>
  <c r="C1376" i="18"/>
  <c r="C1377" i="18"/>
  <c r="C1378" i="18"/>
  <c r="C1379" i="18"/>
  <c r="C1380" i="18"/>
  <c r="C1381" i="18"/>
  <c r="C1382" i="18"/>
  <c r="C1383" i="18"/>
  <c r="C1384" i="18"/>
  <c r="C1385" i="18"/>
  <c r="C1386" i="18"/>
  <c r="C1387" i="18"/>
  <c r="C1388" i="18"/>
  <c r="C1389" i="18"/>
  <c r="C1390" i="18"/>
  <c r="C1391" i="18"/>
  <c r="C1392" i="18"/>
  <c r="C1393" i="18"/>
  <c r="C1394" i="18"/>
  <c r="C1395" i="18"/>
  <c r="C1396" i="18"/>
  <c r="C1397" i="18"/>
  <c r="C1398" i="18"/>
  <c r="C1399" i="18"/>
  <c r="C1400" i="18"/>
  <c r="C1401" i="18"/>
  <c r="C1402" i="18"/>
  <c r="C1403" i="18"/>
  <c r="C1404" i="18"/>
  <c r="C1405" i="18"/>
  <c r="C1406" i="18"/>
  <c r="C1407" i="18"/>
  <c r="C1408" i="18"/>
  <c r="C1409" i="18"/>
  <c r="C1410" i="18"/>
  <c r="C1411" i="18"/>
  <c r="C1412" i="18"/>
  <c r="C1413" i="18"/>
  <c r="C1414" i="18"/>
  <c r="C1415" i="18"/>
  <c r="C1416" i="18"/>
  <c r="C1417" i="18"/>
  <c r="C1418" i="18"/>
  <c r="C1419" i="18"/>
  <c r="C1420" i="18"/>
  <c r="C1421" i="18"/>
  <c r="C1422" i="18"/>
  <c r="C1423" i="18"/>
  <c r="C1424" i="18"/>
  <c r="C1425" i="18"/>
  <c r="C1426" i="18"/>
  <c r="C1427" i="18"/>
  <c r="C1428" i="18"/>
  <c r="C1429" i="18"/>
  <c r="C1430" i="18"/>
  <c r="C1431" i="18"/>
  <c r="C1432" i="18"/>
  <c r="C1433" i="18"/>
  <c r="C1434" i="18"/>
  <c r="C1435" i="18"/>
  <c r="C1436" i="18"/>
  <c r="C1437" i="18"/>
  <c r="C1438" i="18"/>
  <c r="C1439" i="18"/>
  <c r="C1440" i="18"/>
  <c r="C1441" i="18"/>
  <c r="C1442" i="18"/>
  <c r="C1443" i="18"/>
  <c r="C1444" i="18"/>
  <c r="C1445" i="18"/>
  <c r="C1446" i="18"/>
  <c r="C1447" i="18"/>
  <c r="C1448" i="18"/>
  <c r="C1449" i="18"/>
  <c r="C1450" i="18"/>
  <c r="C1451" i="18"/>
  <c r="C1452" i="18"/>
  <c r="C1453" i="18"/>
  <c r="C1454" i="18"/>
  <c r="C1455" i="18"/>
  <c r="C1456" i="18"/>
  <c r="C1457" i="18"/>
  <c r="C1458" i="18"/>
  <c r="C1459" i="18"/>
  <c r="C1460" i="18"/>
  <c r="C1461" i="18"/>
  <c r="C1462" i="18"/>
  <c r="C1463" i="18"/>
  <c r="C1464" i="18"/>
  <c r="C1465" i="18"/>
  <c r="C1466" i="18"/>
  <c r="C1467" i="18"/>
  <c r="C1468" i="18"/>
  <c r="C1469" i="18"/>
  <c r="C1470" i="18"/>
  <c r="C1471" i="18"/>
  <c r="C1472" i="18"/>
  <c r="C1473" i="18"/>
  <c r="C1474" i="18"/>
  <c r="C1475" i="18"/>
  <c r="C1476" i="18"/>
  <c r="C1477" i="18"/>
  <c r="C1478" i="18"/>
  <c r="C1479" i="18"/>
  <c r="C1480" i="18"/>
  <c r="C1481" i="18"/>
  <c r="C1482" i="18"/>
  <c r="C1483" i="18"/>
  <c r="C1484" i="18"/>
  <c r="C1485" i="18"/>
  <c r="C1486" i="18"/>
  <c r="C1487" i="18"/>
  <c r="C1488" i="18"/>
  <c r="C1489" i="18"/>
  <c r="C1490" i="18"/>
  <c r="C1491" i="18"/>
  <c r="C1492" i="18"/>
  <c r="C1493" i="18"/>
  <c r="C1494" i="18"/>
  <c r="C1495" i="18"/>
  <c r="C1496" i="18"/>
  <c r="C1497" i="18"/>
  <c r="C1498" i="18"/>
  <c r="C1499" i="18"/>
  <c r="C1500" i="18"/>
  <c r="C1501" i="18"/>
  <c r="C1502" i="18"/>
  <c r="C1503" i="18"/>
  <c r="C1504" i="18"/>
  <c r="C1505" i="18"/>
  <c r="C1506" i="18"/>
  <c r="C1507" i="18"/>
  <c r="C1508" i="18"/>
  <c r="C1509" i="18"/>
  <c r="C1510" i="18"/>
  <c r="C1511" i="18"/>
  <c r="C1512" i="18"/>
  <c r="C1513" i="18"/>
  <c r="C1514" i="18"/>
  <c r="C1515" i="18"/>
  <c r="C1516" i="18"/>
  <c r="C1517" i="18"/>
  <c r="C1518" i="18"/>
  <c r="C1519" i="18"/>
  <c r="C1520" i="18"/>
  <c r="C1521" i="18"/>
  <c r="C1522" i="18"/>
  <c r="C1523" i="18"/>
  <c r="C1524" i="18"/>
  <c r="C1525" i="18"/>
  <c r="C1526" i="18"/>
  <c r="C1527" i="18"/>
  <c r="C1528" i="18"/>
  <c r="C1529" i="18"/>
  <c r="C1530" i="18"/>
  <c r="C1531" i="18"/>
  <c r="C1532" i="18"/>
  <c r="C1533" i="18"/>
  <c r="C1534" i="18"/>
  <c r="C1535" i="18"/>
  <c r="C1536" i="18"/>
  <c r="C1537" i="18"/>
  <c r="C1538" i="18"/>
  <c r="C1539" i="18"/>
  <c r="C1540" i="18"/>
  <c r="C1541" i="18"/>
  <c r="C1542" i="18"/>
  <c r="C1543" i="18"/>
  <c r="C1544" i="18"/>
  <c r="C1545" i="18"/>
  <c r="C1546" i="18"/>
  <c r="C1547" i="18"/>
  <c r="C1548" i="18"/>
  <c r="C1549" i="18"/>
  <c r="C1550" i="18"/>
  <c r="C1551" i="18"/>
  <c r="C1552" i="18"/>
  <c r="C1553" i="18"/>
  <c r="C1554" i="18"/>
  <c r="C1555" i="18"/>
  <c r="C1556" i="18"/>
  <c r="C1557" i="18"/>
  <c r="C1558" i="18"/>
  <c r="C1559" i="18"/>
  <c r="C1560" i="18"/>
  <c r="C1561" i="18"/>
  <c r="C1562" i="18"/>
  <c r="C1563" i="18"/>
  <c r="C1564" i="18"/>
  <c r="C1565" i="18"/>
  <c r="C1566" i="18"/>
  <c r="C1567" i="18"/>
  <c r="C1568" i="18"/>
  <c r="C1569" i="18"/>
  <c r="C1570" i="18"/>
  <c r="C1571" i="18"/>
  <c r="C1572" i="18"/>
  <c r="C1573" i="18"/>
  <c r="C1574" i="18"/>
  <c r="C1575" i="18"/>
  <c r="C1576" i="18"/>
  <c r="C1577" i="18"/>
  <c r="C1578" i="18"/>
  <c r="C1579" i="18"/>
  <c r="C1580" i="18"/>
  <c r="C1581" i="18"/>
  <c r="C1582" i="18"/>
  <c r="C1583" i="18"/>
  <c r="C1584" i="18"/>
  <c r="C1585" i="18"/>
  <c r="C1586" i="18"/>
  <c r="C1587" i="18"/>
  <c r="C1588" i="18"/>
  <c r="C1589" i="18"/>
  <c r="C1590" i="18"/>
  <c r="C1591" i="18"/>
  <c r="C1592" i="18"/>
  <c r="C1593" i="18"/>
  <c r="C1594" i="18"/>
  <c r="C1595" i="18"/>
  <c r="C1596" i="18"/>
  <c r="C1597" i="18"/>
  <c r="C1598" i="18"/>
  <c r="C1599" i="18"/>
  <c r="C1600" i="18"/>
  <c r="C1601" i="18"/>
  <c r="C1602" i="18"/>
  <c r="C1603" i="18"/>
  <c r="C1604" i="18"/>
  <c r="C1605" i="18"/>
  <c r="C1606" i="18"/>
  <c r="C1607" i="18"/>
  <c r="C1608" i="18"/>
  <c r="C1609" i="18"/>
  <c r="C1610" i="18"/>
  <c r="C1611" i="18"/>
  <c r="C1612" i="18"/>
  <c r="C1613" i="18"/>
  <c r="C1614" i="18"/>
  <c r="C1615" i="18"/>
  <c r="C1616" i="18"/>
  <c r="C1617" i="18"/>
  <c r="C1618" i="18"/>
  <c r="C1619" i="18"/>
  <c r="C1620" i="18"/>
  <c r="C1621" i="18"/>
  <c r="C1622" i="18"/>
  <c r="C1623" i="18"/>
  <c r="C1624" i="18"/>
  <c r="C1625" i="18"/>
  <c r="C1626" i="18"/>
  <c r="C1627" i="18"/>
  <c r="C1628" i="18"/>
  <c r="C1629" i="18"/>
  <c r="C1630" i="18"/>
  <c r="C1631" i="18"/>
  <c r="C1632" i="18"/>
  <c r="C1633" i="18"/>
  <c r="C1634" i="18"/>
  <c r="C1635" i="18"/>
  <c r="C1636" i="18"/>
  <c r="C1637" i="18"/>
  <c r="C1638" i="18"/>
  <c r="C1639" i="18"/>
  <c r="C1640" i="18"/>
  <c r="C1641" i="18"/>
  <c r="C1642" i="18"/>
  <c r="C1643" i="18"/>
  <c r="C1644" i="18"/>
  <c r="C1645" i="18"/>
  <c r="C1646" i="18"/>
  <c r="C1647" i="18"/>
  <c r="C1648" i="18"/>
  <c r="C1649" i="18"/>
  <c r="C1650" i="18"/>
  <c r="C1651" i="18"/>
  <c r="C1652" i="18"/>
  <c r="C1653" i="18"/>
  <c r="C1654" i="18"/>
  <c r="C1655" i="18"/>
  <c r="C1656" i="18"/>
  <c r="C1657" i="18"/>
  <c r="C1658" i="18"/>
  <c r="C1659" i="18"/>
  <c r="C1660" i="18"/>
  <c r="C1661" i="18"/>
  <c r="C1662" i="18"/>
  <c r="C1663" i="18"/>
  <c r="C1664" i="18"/>
  <c r="C1665" i="18"/>
  <c r="C1666" i="18"/>
  <c r="C1667" i="18"/>
  <c r="C1668" i="18"/>
  <c r="C1669" i="18"/>
  <c r="C1670" i="18"/>
  <c r="C1671" i="18"/>
  <c r="C1672" i="18"/>
  <c r="C1673" i="18"/>
  <c r="C1674" i="18"/>
  <c r="C1675" i="18"/>
  <c r="C1676" i="18"/>
  <c r="C1677" i="18"/>
  <c r="C1678" i="18"/>
  <c r="C1679" i="18"/>
  <c r="C1680" i="18"/>
  <c r="C1681" i="18"/>
  <c r="C1682" i="18"/>
  <c r="C1683" i="18"/>
  <c r="C1684" i="18"/>
  <c r="C1685" i="18"/>
  <c r="C1686" i="18"/>
  <c r="C1687" i="18"/>
  <c r="C1688" i="18"/>
  <c r="C1689" i="18"/>
  <c r="C1690" i="18"/>
  <c r="C1691" i="18"/>
  <c r="C1692" i="18"/>
  <c r="C1693" i="18"/>
  <c r="C1694" i="18"/>
  <c r="C1695" i="18"/>
  <c r="C1696" i="18"/>
  <c r="C1697" i="18"/>
  <c r="C1698" i="18"/>
  <c r="C1699" i="18"/>
  <c r="C1700" i="18"/>
  <c r="C1701" i="18"/>
  <c r="C1702" i="18"/>
  <c r="C1703" i="18"/>
  <c r="C1704" i="18"/>
  <c r="C1705" i="18"/>
  <c r="C1706" i="18"/>
  <c r="C1707" i="18"/>
  <c r="C1708" i="18"/>
  <c r="C1709" i="18"/>
  <c r="C1710" i="18"/>
  <c r="C1711" i="18"/>
  <c r="C1712" i="18"/>
  <c r="C1713" i="18"/>
  <c r="C1714" i="18"/>
  <c r="C1715" i="18"/>
  <c r="C1716" i="18"/>
  <c r="C1717" i="18"/>
  <c r="C1718" i="18"/>
  <c r="C1719" i="18"/>
  <c r="C1720" i="18"/>
  <c r="C1721" i="18"/>
  <c r="C1722" i="18"/>
  <c r="C1723" i="18"/>
  <c r="C1724" i="18"/>
  <c r="C1725" i="18"/>
  <c r="C1726" i="18"/>
  <c r="C1727" i="18"/>
  <c r="C1728" i="18"/>
  <c r="C1729" i="18"/>
  <c r="C1730" i="18"/>
  <c r="C1731" i="18"/>
  <c r="C1732" i="18"/>
  <c r="C1733" i="18"/>
  <c r="C1734" i="18"/>
  <c r="C1735" i="18"/>
  <c r="C1736" i="18"/>
  <c r="C1737" i="18"/>
  <c r="C1738" i="18"/>
  <c r="C1739" i="18"/>
  <c r="C1740" i="18"/>
  <c r="C1741" i="18"/>
  <c r="C1742" i="18"/>
  <c r="C1743" i="18"/>
  <c r="C1744" i="18"/>
  <c r="C1745" i="18"/>
  <c r="C1746" i="18"/>
  <c r="C1747" i="18"/>
  <c r="C1748" i="18"/>
  <c r="C1749" i="18"/>
  <c r="C1750" i="18"/>
  <c r="C1751" i="18"/>
  <c r="C1752" i="18"/>
  <c r="C1753" i="18"/>
  <c r="C1754" i="18"/>
  <c r="C1755" i="18"/>
  <c r="C1756" i="18"/>
  <c r="C1757" i="18"/>
  <c r="C1758" i="18"/>
  <c r="C1759" i="18"/>
  <c r="C1760" i="18"/>
  <c r="C1761" i="18"/>
  <c r="C1762" i="18"/>
  <c r="C1763" i="18"/>
  <c r="C1764" i="18"/>
  <c r="C1765" i="18"/>
  <c r="C1766" i="18"/>
  <c r="C1767" i="18"/>
  <c r="C1768" i="18"/>
  <c r="C1769" i="18"/>
  <c r="C1770" i="18"/>
  <c r="C1771" i="18"/>
  <c r="C1772" i="18"/>
  <c r="C1773" i="18"/>
  <c r="C1774" i="18"/>
  <c r="C1775" i="18"/>
  <c r="C1776" i="18"/>
  <c r="C1777" i="18"/>
  <c r="C1778" i="18"/>
  <c r="C1779" i="18"/>
  <c r="C1780" i="18"/>
  <c r="C1781" i="18"/>
  <c r="C1782" i="18"/>
  <c r="C1783" i="18"/>
  <c r="C1784" i="18"/>
  <c r="C1785" i="18"/>
  <c r="C1786" i="18"/>
  <c r="C1787" i="18"/>
  <c r="C1788" i="18"/>
  <c r="C1789" i="18"/>
  <c r="C1790" i="18"/>
  <c r="C1791" i="18"/>
  <c r="C1792" i="18"/>
  <c r="C1793" i="18"/>
  <c r="C1794" i="18"/>
  <c r="C1795" i="18"/>
  <c r="C1796" i="18"/>
  <c r="C1797" i="18"/>
  <c r="C1798" i="18"/>
  <c r="C1799" i="18"/>
  <c r="C1800" i="18"/>
  <c r="C1801" i="18"/>
  <c r="C1802" i="18"/>
  <c r="C1803" i="18"/>
  <c r="C1804" i="18"/>
  <c r="C1805" i="18"/>
  <c r="C1806" i="18"/>
  <c r="C1807" i="18"/>
  <c r="C1808" i="18"/>
  <c r="C1809" i="18"/>
  <c r="C1810" i="18"/>
  <c r="C1811" i="18"/>
  <c r="C1812" i="18"/>
  <c r="C1813" i="18"/>
  <c r="C1814" i="18"/>
  <c r="C1815" i="18"/>
  <c r="C1816" i="18"/>
  <c r="C1817" i="18"/>
  <c r="C1818" i="18"/>
  <c r="C1819" i="18"/>
  <c r="C1820" i="18"/>
  <c r="C1821" i="18"/>
  <c r="C1822" i="18"/>
  <c r="C1823" i="18"/>
  <c r="C1824" i="18"/>
  <c r="C1825" i="18"/>
  <c r="C1826" i="18"/>
  <c r="C1827" i="18"/>
  <c r="C1828" i="18"/>
  <c r="C1829" i="18"/>
  <c r="C1830" i="18"/>
  <c r="C1831" i="18"/>
  <c r="C1832" i="18"/>
  <c r="C1833" i="18"/>
  <c r="C1834" i="18"/>
  <c r="C1835" i="18"/>
  <c r="C1836" i="18"/>
  <c r="C1837" i="18"/>
  <c r="C1838" i="18"/>
  <c r="C1839" i="18"/>
  <c r="C1840" i="18"/>
  <c r="C1841" i="18"/>
  <c r="C1842" i="18"/>
  <c r="C1843" i="18"/>
  <c r="C1844" i="18"/>
  <c r="C1845" i="18"/>
  <c r="C1846" i="18"/>
  <c r="C1847" i="18"/>
  <c r="C1848" i="18"/>
  <c r="C1849" i="18"/>
  <c r="C1850" i="18"/>
  <c r="C1851" i="18"/>
  <c r="C1852" i="18"/>
  <c r="C1853" i="18"/>
  <c r="C1854" i="18"/>
  <c r="C1855" i="18"/>
  <c r="C1856" i="18"/>
  <c r="C1857" i="18"/>
  <c r="C1858" i="18"/>
  <c r="C1859" i="18"/>
  <c r="C1860" i="18"/>
  <c r="C1861" i="18"/>
  <c r="C1862" i="18"/>
  <c r="C1863" i="18"/>
  <c r="C1864" i="18"/>
  <c r="C1865" i="18"/>
  <c r="C1866" i="18"/>
  <c r="C1867" i="18"/>
  <c r="C1868" i="18"/>
  <c r="C1869" i="18"/>
  <c r="C1870" i="18"/>
  <c r="C1871" i="18"/>
  <c r="C1872" i="18"/>
  <c r="C1873" i="18"/>
  <c r="C1874" i="18"/>
  <c r="C1875" i="18"/>
  <c r="C1876" i="18"/>
  <c r="C1877" i="18"/>
  <c r="C1878" i="18"/>
  <c r="C1879" i="18"/>
  <c r="C1880" i="18"/>
  <c r="C1881" i="18"/>
  <c r="C1882" i="18"/>
  <c r="C1883" i="18"/>
  <c r="C1884" i="18"/>
  <c r="C1885" i="18"/>
  <c r="C1886" i="18"/>
  <c r="C1887" i="18"/>
  <c r="C1888" i="18"/>
  <c r="C1889" i="18"/>
  <c r="C1890" i="18"/>
  <c r="C1891" i="18"/>
  <c r="C1892" i="18"/>
  <c r="C1893" i="18"/>
  <c r="C1894" i="18"/>
  <c r="C1895" i="18"/>
  <c r="C1896" i="18"/>
  <c r="C1897" i="18"/>
  <c r="C1898" i="18"/>
  <c r="C1899" i="18"/>
  <c r="C1900" i="18"/>
  <c r="C1901" i="18"/>
  <c r="C1902" i="18"/>
  <c r="C1903" i="18"/>
  <c r="C1904" i="18"/>
  <c r="C1905" i="18"/>
  <c r="C1906" i="18"/>
  <c r="C1907" i="18"/>
  <c r="C1908" i="18"/>
  <c r="C1909" i="18"/>
  <c r="C1910" i="18"/>
  <c r="C1911" i="18"/>
  <c r="C1912" i="18"/>
  <c r="C1913" i="18"/>
  <c r="C1914" i="18"/>
  <c r="C1915" i="18"/>
  <c r="C1916" i="18"/>
  <c r="C1917" i="18"/>
  <c r="C1918" i="18"/>
  <c r="C1919" i="18"/>
  <c r="C1920" i="18"/>
  <c r="C1921" i="18"/>
  <c r="C1922" i="18"/>
  <c r="C1923" i="18"/>
  <c r="C1924" i="18"/>
  <c r="C1925" i="18"/>
  <c r="C1926" i="18"/>
  <c r="C1927" i="18"/>
  <c r="C1928" i="18"/>
  <c r="C1929" i="18"/>
  <c r="C1930" i="18"/>
  <c r="C1931" i="18"/>
  <c r="C1932" i="18"/>
  <c r="C1933" i="18"/>
  <c r="C1934" i="18"/>
  <c r="C1935" i="18"/>
  <c r="C1936" i="18"/>
  <c r="C1937" i="18"/>
  <c r="C1938" i="18"/>
  <c r="C1939" i="18"/>
  <c r="C1940" i="18"/>
  <c r="C1941" i="18"/>
  <c r="C1942" i="18"/>
  <c r="C1943" i="18"/>
  <c r="C1944" i="18"/>
  <c r="C1945" i="18"/>
  <c r="C1946" i="18"/>
  <c r="C1947" i="18"/>
  <c r="C1948" i="18"/>
  <c r="C1949" i="18"/>
  <c r="C1950" i="18"/>
  <c r="C1951" i="18"/>
  <c r="C1952" i="18"/>
  <c r="C1953" i="18"/>
  <c r="C1954" i="18"/>
  <c r="C1955" i="18"/>
  <c r="C1956" i="18"/>
  <c r="C1957" i="18"/>
  <c r="C1958" i="18"/>
  <c r="C1959" i="18"/>
  <c r="C1960" i="18"/>
  <c r="C1961" i="18"/>
  <c r="C1962" i="18"/>
  <c r="C1963" i="18"/>
  <c r="C1964" i="18"/>
  <c r="C1965" i="18"/>
  <c r="C1966" i="18"/>
  <c r="C1967" i="18"/>
  <c r="C1968" i="18"/>
  <c r="C1969" i="18"/>
  <c r="C1970" i="18"/>
  <c r="C1971" i="18"/>
  <c r="C1972" i="18"/>
  <c r="C1973" i="18"/>
  <c r="C1974" i="18"/>
  <c r="C1975" i="18"/>
  <c r="C1976" i="18"/>
  <c r="C1977" i="18"/>
  <c r="C1978" i="18"/>
  <c r="C1979" i="18"/>
  <c r="C1980" i="18"/>
  <c r="C1981" i="18"/>
  <c r="C1982" i="18"/>
  <c r="C1983" i="18"/>
  <c r="C1984" i="18"/>
  <c r="C1985" i="18"/>
  <c r="C1986" i="18"/>
  <c r="C1987" i="18"/>
  <c r="C1988" i="18"/>
  <c r="C1989" i="18"/>
  <c r="C1990" i="18"/>
  <c r="C1991" i="18"/>
  <c r="C1992" i="18"/>
  <c r="C1993" i="18"/>
  <c r="C1994" i="18"/>
  <c r="C1995" i="18"/>
  <c r="C1996" i="18"/>
  <c r="C1997" i="18"/>
  <c r="C1998" i="18"/>
  <c r="C1999" i="18"/>
  <c r="C2000" i="18"/>
  <c r="C2001" i="18"/>
  <c r="C2002" i="18"/>
  <c r="C2003" i="18"/>
  <c r="C2004" i="18"/>
  <c r="C2005" i="18"/>
  <c r="C2006" i="18"/>
  <c r="C2007" i="18"/>
  <c r="C2008" i="18"/>
  <c r="C2009" i="18"/>
  <c r="C2010" i="18"/>
  <c r="C2011" i="18"/>
  <c r="C2012" i="18"/>
  <c r="C2013" i="18"/>
  <c r="C2014" i="18"/>
  <c r="C2015" i="18"/>
  <c r="C2016" i="18"/>
  <c r="C2017" i="18"/>
  <c r="C2018" i="18"/>
  <c r="C2019" i="18"/>
  <c r="C2020" i="18"/>
  <c r="C2021" i="18"/>
  <c r="C2022" i="18"/>
  <c r="C2023" i="18"/>
  <c r="C2024" i="18"/>
  <c r="C2025" i="18"/>
  <c r="C2026" i="18"/>
  <c r="C2027" i="18"/>
  <c r="C2028" i="18"/>
  <c r="C2029" i="18"/>
  <c r="C2030" i="18"/>
  <c r="C2031" i="18"/>
  <c r="C2032" i="18"/>
  <c r="C2033" i="18"/>
  <c r="C2034" i="18"/>
  <c r="C2035" i="18"/>
  <c r="C2036" i="18"/>
  <c r="C2037" i="18"/>
  <c r="C2038" i="18"/>
  <c r="C2039" i="18"/>
  <c r="C2040" i="18"/>
  <c r="C2041" i="18"/>
  <c r="C2042" i="18"/>
  <c r="C2043" i="18"/>
  <c r="C2044" i="18"/>
  <c r="C2045" i="18"/>
  <c r="C2046" i="18"/>
  <c r="C2047" i="18"/>
  <c r="C2048" i="18"/>
  <c r="C2049" i="18"/>
  <c r="C2050" i="18"/>
  <c r="C2051" i="18"/>
  <c r="C2052" i="18"/>
  <c r="C2053" i="18"/>
  <c r="C2054" i="18"/>
  <c r="C2055" i="18"/>
  <c r="C2056" i="18"/>
  <c r="C2057" i="18"/>
  <c r="C2058" i="18"/>
  <c r="C2059" i="18"/>
  <c r="C2060" i="18"/>
  <c r="C2061" i="18"/>
  <c r="C2062" i="18"/>
  <c r="C2063" i="18"/>
  <c r="C2064" i="18"/>
  <c r="C2065" i="18"/>
  <c r="C2066" i="18"/>
  <c r="C2067" i="18"/>
  <c r="C2068" i="18"/>
  <c r="C2069" i="18"/>
  <c r="C2070" i="18"/>
  <c r="C2071" i="18"/>
  <c r="C2072" i="18"/>
  <c r="C2073" i="18"/>
  <c r="C2074" i="18"/>
  <c r="C2075" i="18"/>
  <c r="C2076" i="18"/>
  <c r="C2077" i="18"/>
  <c r="C2078" i="18"/>
  <c r="C2079" i="18"/>
  <c r="C2080" i="18"/>
  <c r="C2081" i="18"/>
  <c r="C2082" i="18"/>
  <c r="C2083" i="18"/>
  <c r="C2084" i="18"/>
  <c r="C2085" i="18"/>
  <c r="C2086" i="18"/>
  <c r="C2087" i="18"/>
  <c r="C2088" i="18"/>
  <c r="C2089" i="18"/>
  <c r="C2090" i="18"/>
  <c r="C2091" i="18"/>
  <c r="C2092" i="18"/>
  <c r="C2093" i="18"/>
  <c r="C2094" i="18"/>
  <c r="C2095" i="18"/>
  <c r="C2096" i="18"/>
  <c r="C2097" i="18"/>
  <c r="C2098" i="18"/>
  <c r="C2099" i="18"/>
  <c r="C2100" i="18"/>
  <c r="C2101" i="18"/>
  <c r="C2102" i="18"/>
  <c r="C2103" i="18"/>
  <c r="C2104" i="18"/>
  <c r="C2105" i="18"/>
  <c r="C2106" i="18"/>
  <c r="C2107" i="18"/>
  <c r="C2108" i="18"/>
  <c r="C2109" i="18"/>
  <c r="C2110" i="18"/>
  <c r="C2111" i="18"/>
  <c r="C2112" i="18"/>
  <c r="C2113" i="18"/>
  <c r="C2114" i="18"/>
  <c r="C2115" i="18"/>
  <c r="C2116" i="18"/>
  <c r="C2117" i="18"/>
  <c r="C2118" i="18"/>
  <c r="C2119" i="18"/>
  <c r="C2120" i="18"/>
  <c r="C2121" i="18"/>
  <c r="C2122" i="18"/>
  <c r="C2123" i="18"/>
  <c r="C2124" i="18"/>
  <c r="C2125" i="18"/>
  <c r="C2126" i="18"/>
  <c r="C2127" i="18"/>
  <c r="C2128" i="18"/>
  <c r="C2129" i="18"/>
  <c r="C2130" i="18"/>
  <c r="C2131" i="18"/>
  <c r="C2132" i="18"/>
  <c r="C2133" i="18"/>
  <c r="C2134" i="18"/>
  <c r="C2135" i="18"/>
  <c r="C2136" i="18"/>
  <c r="C2137" i="18"/>
  <c r="C2138" i="18"/>
  <c r="C2139" i="18"/>
  <c r="C2140" i="18"/>
  <c r="C2141" i="18"/>
  <c r="C2142" i="18"/>
  <c r="C2143" i="18"/>
  <c r="C2144" i="18"/>
  <c r="C2145" i="18"/>
  <c r="C2146" i="18"/>
  <c r="C2147" i="18"/>
  <c r="C2148" i="18"/>
  <c r="C2149" i="18"/>
  <c r="C2150" i="18"/>
  <c r="C2151" i="18"/>
  <c r="C2152" i="18"/>
  <c r="C2153" i="18"/>
  <c r="C2154" i="18"/>
  <c r="C2155" i="18"/>
  <c r="C2156" i="18"/>
  <c r="C2157" i="18"/>
  <c r="C2158" i="18"/>
  <c r="C2159" i="18"/>
  <c r="C2160" i="18"/>
  <c r="C2161" i="18"/>
  <c r="C2162" i="18"/>
  <c r="C2163" i="18"/>
  <c r="C2164" i="18"/>
  <c r="C2165" i="18"/>
  <c r="C2166" i="18"/>
  <c r="C2167" i="18"/>
  <c r="C2168" i="18"/>
  <c r="C2169" i="18"/>
  <c r="C2170" i="18"/>
  <c r="C2171" i="18"/>
  <c r="C2172" i="18"/>
  <c r="C2173" i="18"/>
  <c r="C2174" i="18"/>
  <c r="C2175" i="18"/>
  <c r="C2176" i="18"/>
  <c r="C2177" i="18"/>
  <c r="C2178" i="18"/>
  <c r="C2179" i="18"/>
  <c r="C2180" i="18"/>
  <c r="C2181" i="18"/>
  <c r="C2182" i="18"/>
  <c r="C2183" i="18"/>
  <c r="C2184" i="18"/>
  <c r="C2185" i="18"/>
  <c r="C2186" i="18"/>
  <c r="C2187" i="18"/>
  <c r="C2188" i="18"/>
  <c r="C2189" i="18"/>
  <c r="C2190" i="18"/>
  <c r="C2191" i="18"/>
  <c r="C2192" i="18"/>
  <c r="C2193" i="18"/>
  <c r="C2194" i="18"/>
  <c r="C2195" i="18"/>
  <c r="C2196" i="18"/>
  <c r="C2197" i="18"/>
  <c r="C2198" i="18"/>
  <c r="C2199" i="18"/>
  <c r="C2200" i="18"/>
  <c r="C2201" i="18"/>
  <c r="C2202" i="18"/>
  <c r="C2203" i="18"/>
  <c r="C2204" i="18"/>
  <c r="C2205" i="18"/>
  <c r="C2206" i="18"/>
  <c r="C2207" i="18"/>
  <c r="C2208" i="18"/>
  <c r="C2209" i="18"/>
  <c r="C2210" i="18"/>
  <c r="C2211" i="18"/>
  <c r="C2212" i="18"/>
  <c r="C2213" i="18"/>
  <c r="C2214" i="18"/>
  <c r="C2215" i="18"/>
  <c r="C2216" i="18"/>
  <c r="C2217" i="18"/>
  <c r="C2218" i="18"/>
  <c r="C2219" i="18"/>
  <c r="C2220" i="18"/>
  <c r="C2221" i="18"/>
  <c r="C2222" i="18"/>
  <c r="C2223" i="18"/>
  <c r="C2224" i="18"/>
  <c r="C2225" i="18"/>
  <c r="C2226" i="18"/>
  <c r="C2227" i="18"/>
  <c r="C2228" i="18"/>
  <c r="C2229" i="18"/>
  <c r="C2230" i="18"/>
  <c r="C2231" i="18"/>
  <c r="C2232" i="18"/>
  <c r="C2233" i="18"/>
  <c r="C2234" i="18"/>
  <c r="C2235" i="18"/>
  <c r="C2236" i="18"/>
  <c r="C2237" i="18"/>
  <c r="C2238" i="18"/>
  <c r="C2239" i="18"/>
  <c r="C2240" i="18"/>
  <c r="C2241" i="18"/>
  <c r="C2242" i="18"/>
  <c r="C2243" i="18"/>
  <c r="C2244" i="18"/>
  <c r="C2245" i="18"/>
  <c r="C2246" i="18"/>
  <c r="C2247" i="18"/>
  <c r="C2248" i="18"/>
  <c r="C2249" i="18"/>
  <c r="C2250" i="18"/>
  <c r="C2251" i="18"/>
  <c r="C2252" i="18"/>
  <c r="C2253" i="18"/>
  <c r="C2254" i="18"/>
  <c r="C2255" i="18"/>
  <c r="C2256" i="18"/>
  <c r="C2257" i="18"/>
  <c r="C2258" i="18"/>
  <c r="C2259" i="18"/>
  <c r="C2260" i="18"/>
  <c r="C2261" i="18"/>
  <c r="C2262" i="18"/>
  <c r="C2263" i="18"/>
  <c r="C2264" i="18"/>
  <c r="C2265" i="18"/>
  <c r="C2266" i="18"/>
  <c r="C2267" i="18"/>
  <c r="C2268" i="18"/>
  <c r="C2269" i="18"/>
  <c r="C2270" i="18"/>
  <c r="C2271" i="18"/>
  <c r="C2272" i="18"/>
  <c r="C2273" i="18"/>
  <c r="C2274" i="18"/>
  <c r="C2275" i="18"/>
  <c r="C2276" i="18"/>
  <c r="C2277" i="18"/>
  <c r="C2278" i="18"/>
  <c r="C2279" i="18"/>
  <c r="C2280" i="18"/>
  <c r="C2281" i="18"/>
  <c r="C2282" i="18"/>
  <c r="C2283" i="18"/>
  <c r="C2284" i="18"/>
  <c r="C2285" i="18"/>
  <c r="C2286" i="18"/>
  <c r="C2287" i="18"/>
  <c r="C2288" i="18"/>
  <c r="C2289" i="18"/>
  <c r="C2290" i="18"/>
  <c r="C2291" i="18"/>
  <c r="C2292" i="18"/>
  <c r="C2293" i="18"/>
  <c r="C2294" i="18"/>
  <c r="C2295" i="18"/>
  <c r="C2296" i="18"/>
  <c r="C2297" i="18"/>
  <c r="C2298" i="18"/>
  <c r="C2299" i="18"/>
  <c r="C2300" i="18"/>
  <c r="C2301" i="18"/>
  <c r="C2302" i="18"/>
  <c r="C2303" i="18"/>
  <c r="C2304" i="18"/>
  <c r="C2305" i="18"/>
  <c r="C2306" i="18"/>
  <c r="C2307" i="18"/>
  <c r="C2308" i="18"/>
  <c r="C2309" i="18"/>
  <c r="C2310" i="18"/>
  <c r="C2311" i="18"/>
  <c r="C2312" i="18"/>
  <c r="C2313" i="18"/>
  <c r="C2314" i="18"/>
  <c r="C2315" i="18"/>
  <c r="C2316" i="18"/>
  <c r="C2317" i="18"/>
  <c r="C2318" i="18"/>
  <c r="C2319" i="18"/>
  <c r="C2320" i="18"/>
  <c r="C2321" i="18"/>
  <c r="C2322" i="18"/>
  <c r="C2323" i="18"/>
  <c r="C2324" i="18"/>
  <c r="C2325" i="18"/>
  <c r="C2326" i="18"/>
  <c r="C2327" i="18"/>
  <c r="C2328" i="18"/>
  <c r="C2329" i="18"/>
  <c r="C2330" i="18"/>
  <c r="C2331" i="18"/>
  <c r="C2332" i="18"/>
  <c r="C2333" i="18"/>
  <c r="C2334" i="18"/>
  <c r="C2335" i="18"/>
  <c r="C2336" i="18"/>
  <c r="C2337" i="18"/>
  <c r="C2338" i="18"/>
  <c r="C2339" i="18"/>
  <c r="C2340" i="18"/>
  <c r="C2341" i="18"/>
  <c r="C2342" i="18"/>
  <c r="C2343" i="18"/>
  <c r="C2344" i="18"/>
  <c r="C2345" i="18"/>
  <c r="C2346" i="18"/>
  <c r="C2347" i="18"/>
  <c r="C2348" i="18"/>
  <c r="C2349" i="18"/>
  <c r="C2350" i="18"/>
  <c r="C2351" i="18"/>
  <c r="C2352" i="18"/>
  <c r="C2353" i="18"/>
  <c r="C2354" i="18"/>
  <c r="C2355" i="18"/>
  <c r="C2356" i="18"/>
  <c r="C2357" i="18"/>
  <c r="C2358" i="18"/>
  <c r="C2359" i="18"/>
  <c r="C2360" i="18"/>
  <c r="C2361" i="18"/>
  <c r="C2362" i="18"/>
  <c r="C2363" i="18"/>
  <c r="C2364" i="18"/>
  <c r="C2365" i="18"/>
  <c r="C2366" i="18"/>
  <c r="C2367" i="18"/>
  <c r="C2368" i="18"/>
  <c r="C2369" i="18"/>
  <c r="C2370" i="18"/>
  <c r="C2371" i="18"/>
  <c r="C2372" i="18"/>
  <c r="C2373" i="18"/>
  <c r="C2374" i="18"/>
  <c r="C2375" i="18"/>
  <c r="C2376" i="18"/>
  <c r="C2377" i="18"/>
  <c r="C2378" i="18"/>
  <c r="C2379" i="18"/>
  <c r="C2380" i="18"/>
  <c r="C2381" i="18"/>
  <c r="C2382" i="18"/>
  <c r="C2383" i="18"/>
  <c r="C2384" i="18"/>
  <c r="C2385" i="18"/>
  <c r="C2386" i="18"/>
  <c r="C2387" i="18"/>
  <c r="C2388" i="18"/>
  <c r="C2389" i="18"/>
  <c r="C2390" i="18"/>
  <c r="C2391" i="18"/>
  <c r="C2392" i="18"/>
  <c r="C2393" i="18"/>
  <c r="C2394" i="18"/>
  <c r="C2395" i="18"/>
  <c r="C2396" i="18"/>
  <c r="C2397" i="18"/>
  <c r="C2398" i="18"/>
  <c r="C2399" i="18"/>
  <c r="C2400" i="18"/>
  <c r="C2401" i="18"/>
  <c r="C2402" i="18"/>
  <c r="C2403" i="18"/>
  <c r="C2404" i="18"/>
  <c r="C2405" i="18"/>
  <c r="C2406" i="18"/>
  <c r="C2407" i="18"/>
  <c r="C2408" i="18"/>
  <c r="C2409" i="18"/>
  <c r="C2410" i="18"/>
  <c r="C2411" i="18"/>
  <c r="C2412" i="18"/>
  <c r="C2413" i="18"/>
  <c r="C2414" i="18"/>
  <c r="C2415" i="18"/>
  <c r="C2416" i="18"/>
  <c r="C2417" i="18"/>
  <c r="C2418" i="18"/>
  <c r="C2419" i="18"/>
  <c r="C2420" i="18"/>
  <c r="C2421" i="18"/>
  <c r="C2422" i="18"/>
  <c r="C2423" i="18"/>
  <c r="C2424" i="18"/>
  <c r="C2425" i="18"/>
  <c r="C2426" i="18"/>
  <c r="C2427" i="18"/>
  <c r="C2428" i="18"/>
  <c r="C2429" i="18"/>
  <c r="C2430" i="18"/>
  <c r="C2431" i="18"/>
  <c r="C2432" i="18"/>
  <c r="C2433" i="18"/>
  <c r="C2434" i="18"/>
  <c r="C2435" i="18"/>
  <c r="C2436" i="18"/>
  <c r="C2437" i="18"/>
  <c r="C2438" i="18"/>
  <c r="C2439" i="18"/>
  <c r="C2440" i="18"/>
  <c r="C2441" i="18"/>
  <c r="C2442" i="18"/>
  <c r="C2443" i="18"/>
  <c r="C2444" i="18"/>
  <c r="C2445" i="18"/>
  <c r="C2446" i="18"/>
  <c r="C2447" i="18"/>
  <c r="C2448" i="18"/>
  <c r="C2449" i="18"/>
  <c r="C2450" i="18"/>
  <c r="C2451" i="18"/>
  <c r="C2452" i="18"/>
  <c r="C2453" i="18"/>
  <c r="C2454" i="18"/>
  <c r="C2455" i="18"/>
  <c r="C2456" i="18"/>
  <c r="C2457" i="18"/>
  <c r="C2458" i="18"/>
  <c r="C2459" i="18"/>
  <c r="C2460" i="18"/>
  <c r="C2461" i="18"/>
  <c r="C2462" i="18"/>
  <c r="C2463" i="18"/>
  <c r="C2464" i="18"/>
  <c r="C2465" i="18"/>
  <c r="C2466" i="18"/>
  <c r="C2467" i="18"/>
  <c r="C2468" i="18"/>
  <c r="C2469" i="18"/>
  <c r="C2470" i="18"/>
  <c r="C2471" i="18"/>
  <c r="C2472" i="18"/>
  <c r="C2473" i="18"/>
  <c r="C2474" i="18"/>
  <c r="C2475" i="18"/>
  <c r="C2476" i="18"/>
  <c r="C2477" i="18"/>
  <c r="C2478" i="18"/>
  <c r="C2479" i="18"/>
  <c r="C2480" i="18"/>
  <c r="C2481" i="18"/>
  <c r="C2482" i="18"/>
  <c r="C2483" i="18"/>
  <c r="C2484" i="18"/>
  <c r="C2485" i="18"/>
  <c r="C2486" i="18"/>
  <c r="C2487" i="18"/>
  <c r="C2488" i="18"/>
  <c r="C2489" i="18"/>
  <c r="C2490" i="18"/>
  <c r="C2491" i="18"/>
  <c r="C2492" i="18"/>
  <c r="C2493" i="18"/>
  <c r="C2494" i="18"/>
  <c r="C2495" i="18"/>
  <c r="C2496" i="18"/>
  <c r="C2497" i="18"/>
  <c r="C2498" i="18"/>
  <c r="C2499" i="18"/>
  <c r="C2500" i="18"/>
  <c r="C2501" i="18"/>
  <c r="C2502" i="18"/>
  <c r="C2503" i="18"/>
  <c r="C2504" i="18"/>
  <c r="C2505" i="18"/>
  <c r="C2506" i="18"/>
  <c r="C2507" i="18"/>
  <c r="C2508" i="18"/>
  <c r="C2509" i="18"/>
  <c r="C2510" i="18"/>
  <c r="C2511" i="18"/>
  <c r="C2512" i="18"/>
  <c r="C2513" i="18"/>
  <c r="C2514" i="18"/>
  <c r="C2515" i="18"/>
  <c r="C2516" i="18"/>
  <c r="C2517" i="18"/>
  <c r="C2518" i="18"/>
  <c r="C2519" i="18"/>
  <c r="C2520" i="18"/>
  <c r="C2521" i="18"/>
  <c r="C2522" i="18"/>
  <c r="C2523" i="18"/>
  <c r="C2524" i="18"/>
  <c r="C2525" i="18"/>
  <c r="C2526" i="18"/>
  <c r="C2527" i="18"/>
  <c r="C2528" i="18"/>
  <c r="C2529" i="18"/>
  <c r="C2530" i="18"/>
  <c r="C2531" i="18"/>
  <c r="C2532" i="18"/>
  <c r="C2533" i="18"/>
  <c r="C2534" i="18"/>
  <c r="C2535" i="18"/>
  <c r="C2536" i="18"/>
  <c r="C2537" i="18"/>
  <c r="C2538" i="18"/>
  <c r="C2539" i="18"/>
  <c r="C2540" i="18"/>
  <c r="C2541" i="18"/>
  <c r="C2542" i="18"/>
  <c r="C2543" i="18"/>
  <c r="C2544" i="18"/>
  <c r="C2545" i="18"/>
  <c r="C2546" i="18"/>
  <c r="C2547" i="18"/>
  <c r="C2548" i="18"/>
  <c r="C2549" i="18"/>
  <c r="C2550" i="18"/>
  <c r="C2551" i="18"/>
  <c r="C2552" i="18"/>
  <c r="C2553" i="18"/>
  <c r="C2554" i="18"/>
  <c r="C2555" i="18"/>
  <c r="C2556" i="18"/>
  <c r="C2557" i="18"/>
  <c r="C2558" i="18"/>
  <c r="C2559" i="18"/>
  <c r="C2560" i="18"/>
  <c r="C2561" i="18"/>
  <c r="C2562" i="18"/>
  <c r="C2563" i="18"/>
  <c r="C2564" i="18"/>
  <c r="C2565" i="18"/>
  <c r="C2566" i="18"/>
  <c r="C2567" i="18"/>
  <c r="C2568" i="18"/>
  <c r="C2569" i="18"/>
  <c r="C2570" i="18"/>
  <c r="C2571" i="18"/>
  <c r="C2572" i="18"/>
  <c r="C2573" i="18"/>
  <c r="C2574" i="18"/>
  <c r="C2575" i="18"/>
  <c r="C2576" i="18"/>
  <c r="C2577" i="18"/>
  <c r="C2578" i="18"/>
  <c r="C2579" i="18"/>
  <c r="C2580" i="18"/>
  <c r="C2581" i="18"/>
  <c r="C2582" i="18"/>
  <c r="C2583" i="18"/>
  <c r="C2584" i="18"/>
  <c r="C2585" i="18"/>
  <c r="C2586" i="18"/>
  <c r="C2587" i="18"/>
  <c r="C2588" i="18"/>
  <c r="C2589" i="18"/>
  <c r="C2590" i="18"/>
  <c r="C2591" i="18"/>
  <c r="C2592" i="18"/>
  <c r="C2593" i="18"/>
  <c r="C2594" i="18"/>
  <c r="C2595" i="18"/>
  <c r="C2596" i="18"/>
  <c r="C2597" i="18"/>
  <c r="C2598" i="18"/>
  <c r="C2599" i="18"/>
  <c r="C2600" i="18"/>
  <c r="C2601" i="18"/>
  <c r="C2602" i="18"/>
  <c r="C2603" i="18"/>
  <c r="C2604" i="18"/>
  <c r="C2605" i="18"/>
  <c r="C2606" i="18"/>
  <c r="C2607" i="18"/>
  <c r="C2608" i="18"/>
  <c r="C2609" i="18"/>
  <c r="C2610" i="18"/>
  <c r="C2611" i="18"/>
  <c r="C2612" i="18"/>
  <c r="C2613" i="18"/>
  <c r="C2614" i="18"/>
  <c r="C2615" i="18"/>
  <c r="C2616" i="18"/>
  <c r="C2617" i="18"/>
  <c r="C2618" i="18"/>
  <c r="C2619" i="18"/>
  <c r="C2620" i="18"/>
  <c r="C2621" i="18"/>
  <c r="C2622" i="18"/>
  <c r="C2623" i="18"/>
  <c r="C2624" i="18"/>
  <c r="C2625" i="18"/>
  <c r="C2626" i="18"/>
  <c r="C2627" i="18"/>
  <c r="C2628" i="18"/>
  <c r="C2629" i="18"/>
  <c r="C2630" i="18"/>
  <c r="C2631" i="18"/>
  <c r="C2632" i="18"/>
  <c r="C2633" i="18"/>
  <c r="C2634" i="18"/>
  <c r="C2635" i="18"/>
  <c r="C2636" i="18"/>
  <c r="C2637" i="18"/>
  <c r="C2638" i="18"/>
  <c r="C2639" i="18"/>
  <c r="C2640" i="18"/>
  <c r="C2641" i="18"/>
  <c r="C2642" i="18"/>
  <c r="C2643" i="18"/>
  <c r="C2644" i="18"/>
  <c r="C2645" i="18"/>
  <c r="C2646" i="18"/>
  <c r="C2647" i="18"/>
  <c r="C2648" i="18"/>
  <c r="C2649" i="18"/>
  <c r="C2650" i="18"/>
  <c r="C2651" i="18"/>
  <c r="C2652" i="18"/>
  <c r="C2653" i="18"/>
  <c r="C2654" i="18"/>
  <c r="C2655" i="18"/>
  <c r="C2656" i="18"/>
  <c r="C2657" i="18"/>
  <c r="C2658" i="18"/>
  <c r="C2659" i="18"/>
  <c r="C2660" i="18"/>
  <c r="C2661" i="18"/>
  <c r="C2662" i="18"/>
  <c r="C2663" i="18"/>
  <c r="C2664" i="18"/>
  <c r="C2665" i="18"/>
  <c r="C2666" i="18"/>
  <c r="C2667" i="18"/>
  <c r="C2668" i="18"/>
  <c r="C2669" i="18"/>
  <c r="C2670" i="18"/>
  <c r="C2671" i="18"/>
  <c r="C2672" i="18"/>
  <c r="C2673" i="18"/>
  <c r="C2674" i="18"/>
  <c r="C2675" i="18"/>
  <c r="C2676" i="18"/>
  <c r="C2677" i="18"/>
  <c r="C2678" i="18"/>
  <c r="C2679" i="18"/>
  <c r="C2680" i="18"/>
  <c r="C2681" i="18"/>
  <c r="C2682" i="18"/>
  <c r="C2683" i="18"/>
  <c r="C2684" i="18"/>
  <c r="C2685" i="18"/>
  <c r="C2686" i="18"/>
  <c r="C2687" i="18"/>
  <c r="C2688" i="18"/>
  <c r="C2689" i="18"/>
  <c r="C2690" i="18"/>
  <c r="C2691" i="18"/>
  <c r="C2692" i="18"/>
  <c r="C2693" i="18"/>
  <c r="C2694" i="18"/>
  <c r="C2695" i="18"/>
  <c r="C2696" i="18"/>
  <c r="C2697" i="18"/>
  <c r="C2698" i="18"/>
  <c r="C2699" i="18"/>
  <c r="C2700" i="18"/>
  <c r="C2701" i="18"/>
  <c r="C2702" i="18"/>
  <c r="C2703" i="18"/>
  <c r="C2704" i="18"/>
  <c r="C2705" i="18"/>
  <c r="C2706" i="18"/>
  <c r="C2707" i="18"/>
  <c r="C2708" i="18"/>
  <c r="C2709" i="18"/>
  <c r="C2710" i="18"/>
  <c r="C2711" i="18"/>
  <c r="C2712" i="18"/>
  <c r="C2713" i="18"/>
  <c r="C2714" i="18"/>
  <c r="C2715" i="18"/>
  <c r="C2716" i="18"/>
  <c r="C2717" i="18"/>
  <c r="C2718" i="18"/>
  <c r="C2719" i="18"/>
  <c r="C2720" i="18"/>
  <c r="C2721" i="18"/>
  <c r="C2722" i="18"/>
  <c r="C2723" i="18"/>
  <c r="C2724" i="18"/>
  <c r="C2725" i="18"/>
  <c r="C2726" i="18"/>
  <c r="C2727" i="18"/>
  <c r="C2728" i="18"/>
  <c r="C2729" i="18"/>
  <c r="C2730" i="18"/>
  <c r="C2731" i="18"/>
  <c r="C2732" i="18"/>
  <c r="C2733" i="18"/>
  <c r="C2734" i="18"/>
  <c r="C2735" i="18"/>
  <c r="C2736" i="18"/>
  <c r="C2737" i="18"/>
  <c r="C2738" i="18"/>
  <c r="C2739" i="18"/>
  <c r="C2740" i="18"/>
  <c r="C2741" i="18"/>
  <c r="C2742" i="18"/>
  <c r="C2743" i="18"/>
  <c r="C2744" i="18"/>
  <c r="C2745" i="18"/>
  <c r="C2746" i="18"/>
  <c r="C2747" i="18"/>
  <c r="C2748" i="18"/>
  <c r="C2749" i="18"/>
  <c r="C2750" i="18"/>
  <c r="C2751" i="18"/>
  <c r="C2752" i="18"/>
  <c r="C2753" i="18"/>
  <c r="C2754" i="18"/>
  <c r="C2755" i="18"/>
  <c r="C2756" i="18"/>
  <c r="C2757" i="18"/>
  <c r="C2758" i="18"/>
  <c r="C2759" i="18"/>
  <c r="C2760" i="18"/>
  <c r="C2761" i="18"/>
  <c r="C2762" i="18"/>
  <c r="C2763" i="18"/>
  <c r="C2764" i="18"/>
  <c r="C2765" i="18"/>
  <c r="C2766" i="18"/>
  <c r="C2767" i="18"/>
  <c r="C2768" i="18"/>
  <c r="C2769" i="18"/>
  <c r="C2770" i="18"/>
  <c r="C2771" i="18"/>
  <c r="C2772" i="18"/>
  <c r="C2773" i="18"/>
  <c r="C2774" i="18"/>
  <c r="C2775" i="18"/>
  <c r="C2776" i="18"/>
  <c r="C2777" i="18"/>
  <c r="C2778" i="18"/>
  <c r="C2779" i="18"/>
  <c r="C2780" i="18"/>
  <c r="C2781" i="18"/>
  <c r="C2782" i="18"/>
  <c r="C2783" i="18"/>
  <c r="C2784" i="18"/>
  <c r="C2785" i="18"/>
  <c r="C2786" i="18"/>
  <c r="C2787" i="18"/>
  <c r="C2788" i="18"/>
  <c r="C2789" i="18"/>
  <c r="C2790" i="18"/>
  <c r="C2791" i="18"/>
  <c r="C2792" i="18"/>
  <c r="C2793" i="18"/>
  <c r="C2794" i="18"/>
  <c r="C2795" i="18"/>
  <c r="C2796" i="18"/>
  <c r="C2797" i="18"/>
  <c r="C2798" i="18"/>
  <c r="C2799" i="18"/>
  <c r="C2800" i="18"/>
  <c r="C2801" i="18"/>
  <c r="C2802" i="18"/>
  <c r="C2803" i="18"/>
  <c r="C2804" i="18"/>
  <c r="C2805" i="18"/>
  <c r="C2806" i="18"/>
  <c r="C2807" i="18"/>
  <c r="C2808" i="18"/>
  <c r="C2809" i="18"/>
  <c r="C2810" i="18"/>
  <c r="C2811" i="18"/>
  <c r="C2812" i="18"/>
  <c r="C2813" i="18"/>
  <c r="C2814" i="18"/>
  <c r="C2815" i="18"/>
  <c r="C2816" i="18"/>
  <c r="C2817" i="18"/>
  <c r="C2818" i="18"/>
  <c r="C2819" i="18"/>
  <c r="C2820" i="18"/>
  <c r="C2821" i="18"/>
  <c r="C2822" i="18"/>
  <c r="C2823" i="18"/>
  <c r="C2824" i="18"/>
  <c r="C2825" i="18"/>
  <c r="C2826" i="18"/>
  <c r="C2827" i="18"/>
  <c r="C2828" i="18"/>
  <c r="C2829" i="18"/>
  <c r="C2830" i="18"/>
  <c r="C2831" i="18"/>
  <c r="C2832" i="18"/>
  <c r="C2833" i="18"/>
  <c r="C2834" i="18"/>
  <c r="C2835" i="18"/>
  <c r="C2836" i="18"/>
  <c r="C2837" i="18"/>
  <c r="C2838" i="18"/>
  <c r="C2839" i="18"/>
  <c r="C2840" i="18"/>
  <c r="C2841" i="18"/>
  <c r="C2842" i="18"/>
  <c r="C2843" i="18"/>
  <c r="C2844" i="18"/>
  <c r="C2845" i="18"/>
  <c r="C2846" i="18"/>
  <c r="C2847" i="18"/>
  <c r="C2848" i="18"/>
  <c r="C2849" i="18"/>
  <c r="C2850" i="18"/>
  <c r="C2851" i="18"/>
  <c r="C2852" i="18"/>
  <c r="C2853" i="18"/>
  <c r="C2854" i="18"/>
  <c r="C2855" i="18"/>
  <c r="C2856" i="18"/>
  <c r="C2857" i="18"/>
  <c r="C2858" i="18"/>
  <c r="C2859" i="18"/>
  <c r="C2860" i="18"/>
  <c r="C2861" i="18"/>
  <c r="C2862" i="18"/>
  <c r="C2863" i="18"/>
  <c r="C2864" i="18"/>
  <c r="C2865" i="18"/>
  <c r="C2866" i="18"/>
  <c r="C2867" i="18"/>
  <c r="C2868" i="18"/>
  <c r="C2869" i="18"/>
  <c r="C2870" i="18"/>
  <c r="C2871" i="18"/>
  <c r="C2872" i="18"/>
  <c r="C2873" i="18"/>
  <c r="C2874" i="18"/>
  <c r="C2875" i="18"/>
  <c r="C2876" i="18"/>
  <c r="C2877" i="18"/>
  <c r="C2878" i="18"/>
  <c r="C2879" i="18"/>
  <c r="C2880" i="18"/>
  <c r="C2881" i="18"/>
  <c r="C2882" i="18"/>
  <c r="C2883" i="18"/>
  <c r="C2884" i="18"/>
  <c r="C2885" i="18"/>
  <c r="C2886" i="18"/>
  <c r="C2887" i="18"/>
  <c r="C2888" i="18"/>
  <c r="C2889" i="18"/>
  <c r="C2890" i="18"/>
  <c r="C2891" i="18"/>
  <c r="C2892" i="18"/>
  <c r="C2893" i="18"/>
  <c r="C2894" i="18"/>
  <c r="C2895" i="18"/>
  <c r="C2896" i="18"/>
  <c r="C2897" i="18"/>
  <c r="C2898" i="18"/>
  <c r="C2899" i="18"/>
  <c r="C2900" i="18"/>
  <c r="C2901" i="18"/>
  <c r="C2902" i="18"/>
  <c r="C2903" i="18"/>
  <c r="C2904" i="18"/>
  <c r="C2905" i="18"/>
  <c r="C2906" i="18"/>
  <c r="C2907" i="18"/>
  <c r="C2908" i="18"/>
  <c r="C2909" i="18"/>
  <c r="C2910" i="18"/>
  <c r="C2911" i="18"/>
  <c r="C2912" i="18"/>
  <c r="C2913" i="18"/>
  <c r="C2914" i="18"/>
  <c r="C2915" i="18"/>
  <c r="C2916" i="18"/>
  <c r="C2917" i="18"/>
  <c r="C2918" i="18"/>
  <c r="C2919" i="18"/>
  <c r="C2920" i="18"/>
  <c r="C2921" i="18"/>
  <c r="C2922" i="18"/>
  <c r="C2923" i="18"/>
  <c r="C2924" i="18"/>
  <c r="C2925" i="18"/>
  <c r="C2926" i="18"/>
  <c r="C2927" i="18"/>
  <c r="C2928" i="18"/>
  <c r="C2929" i="18"/>
  <c r="C2930" i="18"/>
  <c r="C2931" i="18"/>
  <c r="C2932" i="18"/>
  <c r="C2933" i="18"/>
  <c r="C2934" i="18"/>
  <c r="C2935" i="18"/>
  <c r="C2936" i="18"/>
  <c r="C2937" i="18"/>
  <c r="C2938" i="18"/>
  <c r="C2939" i="18"/>
  <c r="C2940" i="18"/>
  <c r="C2941" i="18"/>
  <c r="C2942" i="18"/>
  <c r="C2943" i="18"/>
  <c r="C2944" i="18"/>
  <c r="C2945" i="18"/>
  <c r="C2946" i="18"/>
  <c r="C2947" i="18"/>
  <c r="C2948" i="18"/>
  <c r="C2949" i="18"/>
  <c r="C2950" i="18"/>
  <c r="C2951" i="18"/>
  <c r="C2952" i="18"/>
  <c r="C2953" i="18"/>
  <c r="C2954" i="18"/>
  <c r="C2955" i="18"/>
  <c r="C2956" i="18"/>
  <c r="C2957" i="18"/>
  <c r="C2958" i="18"/>
  <c r="C2959" i="18"/>
  <c r="C2960" i="18"/>
  <c r="C2961" i="18"/>
  <c r="C2962" i="18"/>
  <c r="C2963" i="18"/>
  <c r="C2964" i="18"/>
  <c r="C2965" i="18"/>
  <c r="C2966" i="18"/>
  <c r="C2967" i="18"/>
  <c r="C2968" i="18"/>
  <c r="C2969" i="18"/>
  <c r="C2970" i="18"/>
  <c r="C2971" i="18"/>
  <c r="C2972" i="18"/>
  <c r="C2973" i="18"/>
  <c r="C2974" i="18"/>
  <c r="C2975" i="18"/>
  <c r="C2976" i="18"/>
  <c r="C2977" i="18"/>
  <c r="C2978" i="18"/>
  <c r="C2979" i="18"/>
  <c r="C2980" i="18"/>
  <c r="C2981" i="18"/>
  <c r="C2982" i="18"/>
  <c r="C2983" i="18"/>
  <c r="C2984" i="18"/>
  <c r="C2985" i="18"/>
  <c r="C2986" i="18"/>
  <c r="C2987" i="18"/>
  <c r="C2988" i="18"/>
  <c r="C2989" i="18"/>
  <c r="C2990" i="18"/>
  <c r="C2991" i="18"/>
  <c r="C2992" i="18"/>
  <c r="C2993" i="18"/>
  <c r="C2994" i="18"/>
  <c r="C2995" i="18"/>
  <c r="C2996" i="18"/>
  <c r="C2997" i="18"/>
  <c r="C2998" i="18"/>
  <c r="C2999" i="18"/>
  <c r="C3000" i="18"/>
  <c r="C3001" i="18"/>
  <c r="C3002" i="18"/>
  <c r="C3003" i="18"/>
  <c r="C3004" i="18"/>
  <c r="C3005" i="18"/>
  <c r="C3006" i="18"/>
  <c r="C3007" i="18"/>
  <c r="C3008" i="18"/>
  <c r="C3009" i="18"/>
  <c r="C3010" i="18"/>
  <c r="C3011" i="18"/>
  <c r="C3012" i="18"/>
  <c r="C3013" i="18"/>
  <c r="C3014" i="18"/>
  <c r="C3015" i="18"/>
  <c r="C3016" i="18"/>
  <c r="C3017" i="18"/>
  <c r="C3018" i="18"/>
  <c r="C3019" i="18"/>
  <c r="C3020" i="18"/>
  <c r="C3021" i="18"/>
  <c r="C3022" i="18"/>
  <c r="C3023" i="18"/>
  <c r="C3024" i="18"/>
  <c r="C3025" i="18"/>
  <c r="C3026" i="18"/>
  <c r="C3027" i="18"/>
  <c r="C3028" i="18"/>
  <c r="C3029" i="18"/>
  <c r="C3030" i="18"/>
  <c r="C3031" i="18"/>
  <c r="C3032" i="18"/>
  <c r="C3033" i="18"/>
  <c r="C3034" i="18"/>
  <c r="C3035" i="18"/>
  <c r="C3036" i="18"/>
  <c r="C3037" i="18"/>
  <c r="C3038" i="18"/>
  <c r="C3039" i="18"/>
  <c r="C3040" i="18"/>
  <c r="C3041" i="18"/>
  <c r="C3042" i="18"/>
  <c r="C3043" i="18"/>
  <c r="C3044" i="18"/>
  <c r="C3045" i="18"/>
  <c r="C3046" i="18"/>
  <c r="C3047" i="18"/>
  <c r="C3048" i="18"/>
  <c r="C3049" i="18"/>
  <c r="C3050" i="18"/>
  <c r="C3051" i="18"/>
  <c r="C3052" i="18"/>
  <c r="C3053" i="18"/>
  <c r="C3054" i="18"/>
  <c r="C3055" i="18"/>
  <c r="C3056" i="18"/>
  <c r="C3057" i="18"/>
  <c r="C3058" i="18"/>
  <c r="C3059" i="18"/>
  <c r="C3060" i="18"/>
  <c r="C3061" i="18"/>
  <c r="C3062" i="18"/>
  <c r="C3063" i="18"/>
  <c r="C3064" i="18"/>
  <c r="C3065" i="18"/>
  <c r="C3066" i="18"/>
  <c r="C3067" i="18"/>
  <c r="C3068" i="18"/>
  <c r="C3069" i="18"/>
  <c r="C3070" i="18"/>
  <c r="C3071" i="18"/>
  <c r="C3072" i="18"/>
  <c r="C3073" i="18"/>
  <c r="C3074" i="18"/>
  <c r="C3075" i="18"/>
  <c r="C3076" i="18"/>
  <c r="C3077" i="18"/>
  <c r="C3078" i="18"/>
  <c r="C3079" i="18"/>
  <c r="C3080" i="18"/>
  <c r="C3081" i="18"/>
  <c r="C3082" i="18"/>
  <c r="C3083" i="18"/>
  <c r="C3084" i="18"/>
  <c r="C3085" i="18"/>
  <c r="C3086" i="18"/>
  <c r="C3087" i="18"/>
  <c r="C3088" i="18"/>
  <c r="C3089" i="18"/>
  <c r="C3090" i="18"/>
  <c r="C3091" i="18"/>
  <c r="C3092" i="18"/>
  <c r="C3093" i="18"/>
  <c r="C3094" i="18"/>
  <c r="C3095" i="18"/>
  <c r="C3096" i="18"/>
  <c r="C3097" i="18"/>
  <c r="C3098" i="18"/>
  <c r="C3099" i="18"/>
  <c r="C3100" i="18"/>
  <c r="C3101" i="18"/>
  <c r="C3102" i="18"/>
  <c r="C3103" i="18"/>
  <c r="C3104" i="18"/>
  <c r="C3105" i="18"/>
  <c r="C3106" i="18"/>
  <c r="C3107" i="18"/>
  <c r="C3108" i="18"/>
  <c r="C3109" i="18"/>
  <c r="C3110" i="18"/>
  <c r="C3111" i="18"/>
  <c r="C3112" i="18"/>
  <c r="C3113" i="18"/>
  <c r="C3114" i="18"/>
  <c r="C3115" i="18"/>
  <c r="C3116" i="18"/>
  <c r="C3117" i="18"/>
  <c r="C3118" i="18"/>
  <c r="C3119" i="18"/>
  <c r="C3120" i="18"/>
  <c r="C3121" i="18"/>
  <c r="C3122" i="18"/>
  <c r="C3123" i="18"/>
  <c r="C3124" i="18"/>
  <c r="C3125" i="18"/>
  <c r="C3126" i="18"/>
  <c r="C3127" i="18"/>
  <c r="C3128" i="18"/>
  <c r="C3129" i="18"/>
  <c r="C3130" i="18"/>
  <c r="C3131" i="18"/>
  <c r="C3132" i="18"/>
  <c r="C3133" i="18"/>
  <c r="C3134" i="18"/>
  <c r="C3135" i="18"/>
  <c r="C3136" i="18"/>
  <c r="C3137" i="18"/>
  <c r="C3138" i="18"/>
  <c r="C3139" i="18"/>
  <c r="C3140" i="18"/>
  <c r="C3141" i="18"/>
  <c r="C3142" i="18"/>
  <c r="C3143" i="18"/>
  <c r="C3144" i="18"/>
  <c r="C3145" i="18"/>
  <c r="C3146" i="18"/>
  <c r="C3147" i="18"/>
  <c r="C3148" i="18"/>
  <c r="C3149" i="18"/>
  <c r="C3150" i="18"/>
  <c r="C3151" i="18"/>
  <c r="C3152" i="18"/>
  <c r="C3153" i="18"/>
  <c r="C3154" i="18"/>
  <c r="C3155" i="18"/>
  <c r="C3156" i="18"/>
  <c r="C3157" i="18"/>
  <c r="C3158" i="18"/>
  <c r="C3159" i="18"/>
  <c r="C3160" i="18"/>
  <c r="C3161" i="18"/>
  <c r="C3162" i="18"/>
  <c r="C3163" i="18"/>
  <c r="C3164" i="18"/>
  <c r="C3165" i="18"/>
  <c r="C3166" i="18"/>
  <c r="C3167" i="18"/>
  <c r="C3168" i="18"/>
  <c r="C3169" i="18"/>
  <c r="C3170" i="18"/>
  <c r="C3171" i="18"/>
  <c r="C3172" i="18"/>
  <c r="C3173" i="18"/>
  <c r="C3174" i="18"/>
  <c r="C3175" i="18"/>
  <c r="C3176" i="18"/>
  <c r="C3177" i="18"/>
  <c r="C3178" i="18"/>
  <c r="C3179" i="18"/>
  <c r="C3180" i="18"/>
  <c r="C3181" i="18"/>
  <c r="C3182" i="18"/>
  <c r="C3183" i="18"/>
  <c r="C3184" i="18"/>
  <c r="C3185" i="18"/>
  <c r="C3186" i="18"/>
  <c r="C3187" i="18"/>
  <c r="C3188" i="18"/>
  <c r="C3189" i="18"/>
  <c r="C3190" i="18"/>
  <c r="C3191" i="18"/>
  <c r="C3192" i="18"/>
  <c r="C3193" i="18"/>
  <c r="C3194" i="18"/>
  <c r="C3195" i="18"/>
  <c r="C3196" i="18"/>
  <c r="C3197" i="18"/>
  <c r="C3198" i="18"/>
  <c r="C3199" i="18"/>
  <c r="C3200" i="18"/>
  <c r="C3201" i="18"/>
  <c r="C3202" i="18"/>
  <c r="C3203" i="18"/>
  <c r="C3204" i="18"/>
  <c r="C3205" i="18"/>
  <c r="C3206" i="18"/>
  <c r="C3207" i="18"/>
  <c r="C3208" i="18"/>
  <c r="C3209" i="18"/>
  <c r="C3210" i="18"/>
  <c r="C3211" i="18"/>
  <c r="C3212" i="18"/>
  <c r="C3213" i="18"/>
  <c r="C3214" i="18"/>
  <c r="C3215" i="18"/>
  <c r="C3216" i="18"/>
  <c r="C3217" i="18"/>
  <c r="C3218" i="18"/>
  <c r="C3219" i="18"/>
  <c r="C3220" i="18"/>
  <c r="C3221" i="18"/>
  <c r="C3222" i="18"/>
  <c r="C3223" i="18"/>
  <c r="C3224" i="18"/>
  <c r="C3225" i="18"/>
  <c r="C3226" i="18"/>
  <c r="C3227" i="18"/>
  <c r="C3228" i="18"/>
  <c r="C3229" i="18"/>
  <c r="C3230" i="18"/>
  <c r="C3231" i="18"/>
  <c r="C3232" i="18"/>
  <c r="C3233" i="18"/>
  <c r="C3234" i="18"/>
  <c r="C3235" i="18"/>
  <c r="C3236" i="18"/>
  <c r="C3237" i="18"/>
  <c r="C3238" i="18"/>
  <c r="C3239" i="18"/>
  <c r="C3240" i="18"/>
  <c r="C3241" i="18"/>
  <c r="C3242" i="18"/>
  <c r="C3243" i="18"/>
  <c r="C3244" i="18"/>
  <c r="C3245" i="18"/>
  <c r="C3246" i="18"/>
  <c r="C3247" i="18"/>
  <c r="C3248" i="18"/>
  <c r="C3249" i="18"/>
  <c r="C3250" i="18"/>
  <c r="C3251" i="18"/>
  <c r="C3252" i="18"/>
  <c r="C3253" i="18"/>
  <c r="C3254" i="18"/>
  <c r="C3255" i="18"/>
  <c r="C3256" i="18"/>
  <c r="C3257" i="18"/>
  <c r="C3258" i="18"/>
  <c r="C3259" i="18"/>
  <c r="C3260" i="18"/>
  <c r="C3261" i="18"/>
  <c r="C3262" i="18"/>
  <c r="C3263" i="18"/>
  <c r="C3264" i="18"/>
  <c r="C3265" i="18"/>
  <c r="C3266" i="18"/>
  <c r="C3267" i="18"/>
  <c r="C3268" i="18"/>
  <c r="C3269" i="18"/>
  <c r="C3270" i="18"/>
  <c r="C3271" i="18"/>
  <c r="C3272" i="18"/>
  <c r="C3273" i="18"/>
  <c r="C3274" i="18"/>
  <c r="C3275" i="18"/>
  <c r="C3276" i="18"/>
  <c r="C3277" i="18"/>
  <c r="C3278" i="18"/>
  <c r="C3279" i="18"/>
  <c r="C3280" i="18"/>
  <c r="C3281" i="18"/>
  <c r="C3282" i="18"/>
  <c r="C3283" i="18"/>
  <c r="C3284" i="18"/>
  <c r="C3285" i="18"/>
  <c r="C3286" i="18"/>
  <c r="C3287" i="18"/>
  <c r="C3288" i="18"/>
  <c r="C3289" i="18"/>
  <c r="C3290" i="18"/>
  <c r="C3291" i="18"/>
  <c r="C3292" i="18"/>
  <c r="C3293" i="18"/>
  <c r="C3294" i="18"/>
  <c r="C3295" i="18"/>
  <c r="C3296" i="18"/>
  <c r="C3297" i="18"/>
  <c r="C3298" i="18"/>
  <c r="C3299" i="18"/>
  <c r="C3300" i="18"/>
  <c r="C3301" i="18"/>
  <c r="C3302" i="18"/>
  <c r="C3303" i="18"/>
  <c r="C3304" i="18"/>
  <c r="C3305" i="18"/>
  <c r="C3306" i="18"/>
  <c r="C3307" i="18"/>
  <c r="C3308" i="18"/>
  <c r="C3309" i="18"/>
  <c r="C3310" i="18"/>
  <c r="C3311" i="18"/>
  <c r="C3312" i="18"/>
  <c r="C3313" i="18"/>
  <c r="C3314" i="18"/>
  <c r="C3315" i="18"/>
  <c r="C3316" i="18"/>
  <c r="C3317" i="18"/>
  <c r="C3318" i="18"/>
  <c r="C3319" i="18"/>
  <c r="C3320" i="18"/>
  <c r="C3321" i="18"/>
  <c r="C3322" i="18"/>
  <c r="C3323" i="18"/>
  <c r="C3324" i="18"/>
  <c r="C3325" i="18"/>
  <c r="C3326" i="18"/>
  <c r="C3327" i="18"/>
  <c r="C3328" i="18"/>
  <c r="D5" i="1"/>
  <c r="C6" i="1"/>
  <c r="B6" i="1" s="1"/>
  <c r="C7" i="1"/>
  <c r="B7" i="1" s="1"/>
  <c r="C8" i="1"/>
  <c r="B8" i="1" s="1"/>
  <c r="C9" i="1"/>
  <c r="B9" i="1" s="1"/>
  <c r="C10" i="1"/>
  <c r="B10" i="1" s="1"/>
  <c r="C11" i="1"/>
  <c r="B11" i="1" s="1"/>
  <c r="C12" i="1"/>
  <c r="B12" i="1" s="1"/>
  <c r="C13" i="1"/>
  <c r="B13" i="1" s="1"/>
  <c r="C14" i="1"/>
  <c r="B14" i="1" s="1"/>
  <c r="C5" i="1"/>
  <c r="B5" i="1" s="1"/>
  <c r="R6" i="1"/>
  <c r="N6" i="1" s="1"/>
  <c r="R7" i="1"/>
  <c r="N7" i="1" s="1"/>
  <c r="R8" i="1"/>
  <c r="N8" i="1" s="1"/>
  <c r="R9" i="1"/>
  <c r="N9" i="1" s="1"/>
  <c r="R10" i="1"/>
  <c r="N10" i="1" s="1"/>
  <c r="R11" i="1"/>
  <c r="N11" i="1" s="1"/>
  <c r="R12" i="1"/>
  <c r="N12" i="1" s="1"/>
  <c r="R13" i="1"/>
  <c r="N13" i="1" s="1"/>
  <c r="R14" i="1"/>
  <c r="N14" i="1" s="1"/>
  <c r="R5" i="1"/>
  <c r="N5" i="1" s="1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2" i="9"/>
  <c r="D10" i="1"/>
  <c r="D7" i="1"/>
  <c r="D12" i="1"/>
  <c r="D14" i="1"/>
  <c r="D13" i="1"/>
  <c r="D11" i="1"/>
  <c r="G11" i="1" s="1"/>
  <c r="D9" i="1"/>
  <c r="G9" i="1" s="1"/>
  <c r="D8" i="1"/>
  <c r="G8" i="1" s="1"/>
  <c r="D6" i="1"/>
  <c r="G6" i="1" s="1"/>
  <c r="I7" i="1"/>
  <c r="B9" i="10" l="1"/>
  <c r="AI8" i="1"/>
  <c r="AI12" i="1"/>
  <c r="AI11" i="1"/>
  <c r="AI13" i="1"/>
  <c r="AI10" i="1"/>
  <c r="AI9" i="1"/>
  <c r="AI7" i="1"/>
  <c r="AI14" i="1"/>
  <c r="AI6" i="1"/>
  <c r="AI5" i="1"/>
  <c r="AE5" i="1" s="1"/>
  <c r="W5" i="1" s="1"/>
  <c r="C17" i="10"/>
  <c r="B27" i="10"/>
  <c r="B26" i="10"/>
  <c r="B23" i="10"/>
  <c r="B20" i="10"/>
  <c r="B17" i="10"/>
  <c r="B15" i="10"/>
  <c r="B12" i="10"/>
  <c r="B10" i="10"/>
  <c r="B8" i="10"/>
  <c r="B5" i="10"/>
  <c r="B2" i="10"/>
  <c r="F5" i="1"/>
  <c r="G5" i="1"/>
  <c r="F12" i="1"/>
  <c r="M12" i="1" s="1"/>
  <c r="F7" i="1"/>
  <c r="M7" i="1" s="1"/>
  <c r="F8" i="1"/>
  <c r="H8" i="1" s="1"/>
  <c r="F14" i="1"/>
  <c r="F9" i="1"/>
  <c r="H9" i="1" s="1"/>
  <c r="F13" i="1"/>
  <c r="M13" i="1" s="1"/>
  <c r="F6" i="1"/>
  <c r="H6" i="1" s="1"/>
  <c r="F10" i="1"/>
  <c r="M10" i="1" s="1"/>
  <c r="F11" i="1"/>
  <c r="H11" i="1" s="1"/>
  <c r="E14" i="1"/>
  <c r="G14" i="1" s="1"/>
  <c r="E13" i="1"/>
  <c r="G13" i="1" s="1"/>
  <c r="E12" i="1"/>
  <c r="G12" i="1" s="1"/>
  <c r="E10" i="1"/>
  <c r="G10" i="1" s="1"/>
  <c r="E7" i="1"/>
  <c r="G7" i="1" s="1"/>
  <c r="I14" i="1"/>
  <c r="I13" i="1"/>
  <c r="I12" i="1"/>
  <c r="I11" i="1"/>
  <c r="I10" i="1"/>
  <c r="I8" i="1"/>
  <c r="I6" i="1"/>
  <c r="I5" i="1"/>
  <c r="B16" i="10" l="1"/>
  <c r="D17" i="10"/>
  <c r="F17" i="10" s="1"/>
  <c r="C2" i="10"/>
  <c r="E2" i="10" s="1"/>
  <c r="D2" i="10"/>
  <c r="F2" i="10" s="1"/>
  <c r="D8" i="10"/>
  <c r="D15" i="10"/>
  <c r="E17" i="10"/>
  <c r="A2" i="20" a="1"/>
  <c r="A2" i="20" s="1"/>
  <c r="C26" i="10"/>
  <c r="D26" i="10"/>
  <c r="C23" i="10"/>
  <c r="D23" i="10"/>
  <c r="C20" i="10"/>
  <c r="D20" i="10"/>
  <c r="C12" i="10"/>
  <c r="D12" i="10"/>
  <c r="C10" i="10"/>
  <c r="D10" i="10"/>
  <c r="C5" i="10"/>
  <c r="D5" i="10"/>
  <c r="C15" i="10"/>
  <c r="C8" i="10"/>
  <c r="B11" i="10"/>
  <c r="E2" i="20"/>
  <c r="H5" i="1"/>
  <c r="AE14" i="1"/>
  <c r="AE9" i="1"/>
  <c r="W9" i="1" s="1"/>
  <c r="AE6" i="1"/>
  <c r="W6" i="1" s="1"/>
  <c r="AE10" i="1"/>
  <c r="AE13" i="1"/>
  <c r="W13" i="1" s="1"/>
  <c r="AE7" i="1"/>
  <c r="AE8" i="1"/>
  <c r="AE11" i="1"/>
  <c r="W11" i="1" s="1"/>
  <c r="AE12" i="1"/>
  <c r="W12" i="1" s="1"/>
  <c r="K11" i="1"/>
  <c r="AB11" i="1" s="1"/>
  <c r="K6" i="1"/>
  <c r="AB6" i="1" s="1"/>
  <c r="K9" i="1"/>
  <c r="AB9" i="1" s="1"/>
  <c r="K8" i="1"/>
  <c r="AB8" i="1" s="1"/>
  <c r="Q13" i="1"/>
  <c r="Q6" i="1"/>
  <c r="Q5" i="1"/>
  <c r="M14" i="1"/>
  <c r="Q14" i="1"/>
  <c r="M9" i="1"/>
  <c r="M6" i="1"/>
  <c r="M8" i="1"/>
  <c r="M11" i="1"/>
  <c r="M5" i="1"/>
  <c r="P6" i="1"/>
  <c r="O6" i="1" s="1"/>
  <c r="K10" i="1"/>
  <c r="AB10" i="1" s="1"/>
  <c r="K12" i="1"/>
  <c r="AB12" i="1" s="1"/>
  <c r="AP12" i="1" s="1"/>
  <c r="K13" i="1"/>
  <c r="AB13" i="1" s="1"/>
  <c r="H7" i="1"/>
  <c r="K7" i="1"/>
  <c r="AB7" i="1" s="1"/>
  <c r="H14" i="1"/>
  <c r="K14" i="1"/>
  <c r="AB14" i="1" s="1"/>
  <c r="K5" i="1"/>
  <c r="AB5" i="1" s="1"/>
  <c r="H12" i="1"/>
  <c r="H13" i="1"/>
  <c r="H10" i="1"/>
  <c r="P14" i="1"/>
  <c r="O14" i="1" s="1"/>
  <c r="D21" i="10" l="1"/>
  <c r="D24" i="10"/>
  <c r="C24" i="10"/>
  <c r="C18" i="10"/>
  <c r="D18" i="10"/>
  <c r="D13" i="10"/>
  <c r="V6" i="1"/>
  <c r="V11" i="1"/>
  <c r="U11" i="1" s="1"/>
  <c r="V9" i="1"/>
  <c r="U9" i="1" s="1"/>
  <c r="V8" i="1"/>
  <c r="U8" i="1" s="1"/>
  <c r="V10" i="1"/>
  <c r="U10" i="1" s="1"/>
  <c r="V14" i="1"/>
  <c r="U14" i="1" s="1"/>
  <c r="V7" i="1"/>
  <c r="B4" i="26"/>
  <c r="B8" i="26"/>
  <c r="B9" i="26"/>
  <c r="B10" i="26"/>
  <c r="B2" i="26"/>
  <c r="B3" i="26"/>
  <c r="B5" i="26"/>
  <c r="B6" i="26"/>
  <c r="B7" i="26"/>
  <c r="F8" i="10"/>
  <c r="F15" i="10"/>
  <c r="E8" i="10"/>
  <c r="E5" i="10"/>
  <c r="D9" i="10"/>
  <c r="F9" i="10" s="1"/>
  <c r="F12" i="10"/>
  <c r="F20" i="10"/>
  <c r="D27" i="10"/>
  <c r="F27" i="10" s="1"/>
  <c r="F10" i="10"/>
  <c r="F23" i="10"/>
  <c r="E26" i="10"/>
  <c r="E23" i="10"/>
  <c r="E20" i="10"/>
  <c r="E15" i="10"/>
  <c r="E12" i="10"/>
  <c r="E10" i="10"/>
  <c r="F26" i="10"/>
  <c r="F5" i="10"/>
  <c r="D11" i="10"/>
  <c r="D16" i="10"/>
  <c r="J7" i="1"/>
  <c r="J14" i="1"/>
  <c r="L9" i="1"/>
  <c r="L12" i="1"/>
  <c r="L10" i="1"/>
  <c r="J6" i="1"/>
  <c r="J5" i="1"/>
  <c r="L11" i="1"/>
  <c r="L6" i="1"/>
  <c r="L8" i="1"/>
  <c r="Q7" i="1"/>
  <c r="Q8" i="1"/>
  <c r="Q9" i="1"/>
  <c r="Q12" i="1"/>
  <c r="Q11" i="1"/>
  <c r="Q10" i="1"/>
  <c r="J12" i="1"/>
  <c r="J10" i="1"/>
  <c r="J11" i="1"/>
  <c r="J13" i="1"/>
  <c r="J9" i="1"/>
  <c r="J8" i="1"/>
  <c r="L13" i="1"/>
  <c r="L14" i="1"/>
  <c r="L7" i="1"/>
  <c r="L5" i="1"/>
  <c r="P9" i="1"/>
  <c r="O9" i="1" s="1"/>
  <c r="P7" i="1"/>
  <c r="O7" i="1" s="1"/>
  <c r="AG9" i="1"/>
  <c r="P13" i="1"/>
  <c r="O13" i="1" s="1"/>
  <c r="P11" i="1"/>
  <c r="O11" i="1" s="1"/>
  <c r="P12" i="1"/>
  <c r="O12" i="1" s="1"/>
  <c r="P10" i="1"/>
  <c r="O10" i="1" s="1"/>
  <c r="AG5" i="1"/>
  <c r="P5" i="1"/>
  <c r="P8" i="1"/>
  <c r="O8" i="1" s="1"/>
  <c r="AG7" i="1"/>
  <c r="C13" i="10" l="1"/>
  <c r="C21" i="10"/>
  <c r="B13" i="10"/>
  <c r="AA13" i="1"/>
  <c r="S13" i="1"/>
  <c r="AA8" i="1"/>
  <c r="S8" i="1"/>
  <c r="AA11" i="1"/>
  <c r="S11" i="1"/>
  <c r="AA9" i="1"/>
  <c r="S9" i="1"/>
  <c r="AA10" i="1"/>
  <c r="S10" i="1"/>
  <c r="AA6" i="1"/>
  <c r="S6" i="1"/>
  <c r="AA7" i="1"/>
  <c r="S7" i="1"/>
  <c r="AA12" i="1"/>
  <c r="S12" i="1"/>
  <c r="AA14" i="1"/>
  <c r="S14" i="1"/>
  <c r="AA5" i="1"/>
  <c r="S5" i="1"/>
  <c r="O5" i="1" s="1"/>
  <c r="B24" i="10"/>
  <c r="B25" i="10"/>
  <c r="B18" i="10"/>
  <c r="B19" i="10"/>
  <c r="B14" i="10"/>
  <c r="D3" i="10"/>
  <c r="C3" i="10"/>
  <c r="D6" i="10"/>
  <c r="C6" i="10"/>
  <c r="T7" i="1"/>
  <c r="U7" i="1"/>
  <c r="X7" i="1" s="1"/>
  <c r="X6" i="1"/>
  <c r="AH6" i="1" s="1"/>
  <c r="U6" i="1"/>
  <c r="T8" i="1"/>
  <c r="X8" i="1"/>
  <c r="AH8" i="1" s="1"/>
  <c r="T10" i="1"/>
  <c r="X10" i="1"/>
  <c r="AH10" i="1" s="1"/>
  <c r="T14" i="1"/>
  <c r="X14" i="1"/>
  <c r="X9" i="1"/>
  <c r="T9" i="1"/>
  <c r="X11" i="1"/>
  <c r="AH11" i="1" s="1"/>
  <c r="T11" i="1"/>
  <c r="V13" i="1"/>
  <c r="U13" i="1" s="1"/>
  <c r="V12" i="1"/>
  <c r="U12" i="1" s="1"/>
  <c r="T6" i="1"/>
  <c r="F16" i="10"/>
  <c r="F11" i="10"/>
  <c r="AQ7" i="1"/>
  <c r="AQ9" i="1"/>
  <c r="AQ5" i="1"/>
  <c r="AG13" i="1"/>
  <c r="AG14" i="1"/>
  <c r="AG11" i="1"/>
  <c r="AG12" i="1"/>
  <c r="AG10" i="1"/>
  <c r="AG6" i="1"/>
  <c r="AG8" i="1"/>
  <c r="B22" i="10" l="1"/>
  <c r="D19" i="10"/>
  <c r="B21" i="10"/>
  <c r="C27" i="10"/>
  <c r="C7" i="10"/>
  <c r="D25" i="10"/>
  <c r="F25" i="10" s="1"/>
  <c r="C9" i="10"/>
  <c r="B6" i="10"/>
  <c r="B7" i="10"/>
  <c r="F13" i="10"/>
  <c r="E13" i="10"/>
  <c r="D14" i="10"/>
  <c r="E18" i="10"/>
  <c r="F18" i="10"/>
  <c r="B4" i="10"/>
  <c r="B3" i="10"/>
  <c r="F24" i="10"/>
  <c r="E24" i="10"/>
  <c r="AD6" i="1"/>
  <c r="AF6" i="1" s="1"/>
  <c r="Y6" i="1"/>
  <c r="X12" i="1"/>
  <c r="AH12" i="1" s="1"/>
  <c r="Y11" i="1"/>
  <c r="AD11" i="1"/>
  <c r="AF11" i="1" s="1"/>
  <c r="X13" i="1"/>
  <c r="T13" i="1"/>
  <c r="AH9" i="1"/>
  <c r="Y9" i="1"/>
  <c r="AD9" i="1"/>
  <c r="Y7" i="1"/>
  <c r="AH7" i="1"/>
  <c r="AD7" i="1"/>
  <c r="Y8" i="1"/>
  <c r="AD8" i="1"/>
  <c r="AF8" i="1" s="1"/>
  <c r="Y10" i="1"/>
  <c r="AD10" i="1"/>
  <c r="AF10" i="1" s="1"/>
  <c r="AH14" i="1"/>
  <c r="Y14" i="1"/>
  <c r="AD14" i="1"/>
  <c r="T12" i="1"/>
  <c r="Z9" i="1"/>
  <c r="AJ9" i="1" s="1"/>
  <c r="Z7" i="1"/>
  <c r="AJ7" i="1" s="1"/>
  <c r="C25" i="10"/>
  <c r="C16" i="10"/>
  <c r="C14" i="10"/>
  <c r="C11" i="10"/>
  <c r="G2" i="20"/>
  <c r="AP9" i="1"/>
  <c r="AC7" i="1"/>
  <c r="AP7" i="1"/>
  <c r="AC9" i="1"/>
  <c r="AQ14" i="1"/>
  <c r="D22" i="10" l="1"/>
  <c r="F19" i="10"/>
  <c r="F21" i="10"/>
  <c r="E21" i="10"/>
  <c r="C22" i="10"/>
  <c r="E22" i="10" s="1"/>
  <c r="AF7" i="1"/>
  <c r="AF14" i="1"/>
  <c r="AF9" i="1"/>
  <c r="D4" i="10"/>
  <c r="F4" i="10" s="1"/>
  <c r="D7" i="10"/>
  <c r="F6" i="10"/>
  <c r="E6" i="10"/>
  <c r="F3" i="10"/>
  <c r="E3" i="10"/>
  <c r="A2" i="23" a="1"/>
  <c r="F14" i="10"/>
  <c r="Y12" i="1"/>
  <c r="AD12" i="1"/>
  <c r="AF12" i="1" s="1"/>
  <c r="AH13" i="1"/>
  <c r="AD13" i="1"/>
  <c r="Y13" i="1"/>
  <c r="C19" i="10"/>
  <c r="E7" i="10"/>
  <c r="E9" i="10"/>
  <c r="E27" i="10"/>
  <c r="E25" i="10"/>
  <c r="E16" i="10"/>
  <c r="E14" i="10"/>
  <c r="E11" i="10"/>
  <c r="C2" i="20"/>
  <c r="C4" i="10"/>
  <c r="B2" i="20" a="1"/>
  <c r="B2" i="20" s="1"/>
  <c r="AQ13" i="1"/>
  <c r="AQ6" i="1"/>
  <c r="AQ12" i="1"/>
  <c r="AC14" i="1"/>
  <c r="AP14" i="1"/>
  <c r="Z14" i="1"/>
  <c r="AQ8" i="1"/>
  <c r="AQ11" i="1"/>
  <c r="AQ10" i="1"/>
  <c r="AK7" i="1"/>
  <c r="AK9" i="1"/>
  <c r="E19" i="10" l="1"/>
  <c r="F22" i="10"/>
  <c r="H2" i="20"/>
  <c r="J2" i="20"/>
  <c r="D2" i="20"/>
  <c r="AF13" i="1"/>
  <c r="AJ14" i="1"/>
  <c r="AK14" i="1" s="1"/>
  <c r="A2" i="23"/>
  <c r="C2" i="23" a="1"/>
  <c r="C2" i="23" s="1"/>
  <c r="C6" i="26"/>
  <c r="C5" i="26"/>
  <c r="C2" i="26"/>
  <c r="C4" i="26"/>
  <c r="C9" i="26"/>
  <c r="C7" i="26"/>
  <c r="C10" i="26"/>
  <c r="C8" i="26"/>
  <c r="F2" i="20"/>
  <c r="C3" i="26"/>
  <c r="F7" i="10"/>
  <c r="AO9" i="1"/>
  <c r="AL9" i="1"/>
  <c r="AO7" i="1"/>
  <c r="AL7" i="1"/>
  <c r="E4" i="10"/>
  <c r="Z8" i="1"/>
  <c r="AC8" i="1"/>
  <c r="AP8" i="1"/>
  <c r="AP6" i="1"/>
  <c r="Z6" i="1"/>
  <c r="AC6" i="1"/>
  <c r="AC10" i="1"/>
  <c r="Z10" i="1"/>
  <c r="AP10" i="1"/>
  <c r="Z12" i="1"/>
  <c r="AC12" i="1"/>
  <c r="AP13" i="1"/>
  <c r="AC13" i="1"/>
  <c r="Z13" i="1"/>
  <c r="AC11" i="1"/>
  <c r="Z11" i="1"/>
  <c r="AP11" i="1"/>
  <c r="AN7" i="1"/>
  <c r="AN9" i="1"/>
  <c r="AP5" i="1"/>
  <c r="B2" i="23" l="1" a="1"/>
  <c r="B2" i="23" s="1"/>
  <c r="AN14" i="1"/>
  <c r="AL14" i="1"/>
  <c r="AO14" i="1"/>
  <c r="AJ10" i="1"/>
  <c r="AK10" i="1" s="1"/>
  <c r="AJ13" i="1"/>
  <c r="AK13" i="1" s="1"/>
  <c r="AJ8" i="1"/>
  <c r="AK8" i="1" s="1"/>
  <c r="AJ12" i="1"/>
  <c r="AK12" i="1" s="1"/>
  <c r="AJ11" i="1"/>
  <c r="AK11" i="1" s="1"/>
  <c r="AN11" i="1" s="1"/>
  <c r="AJ6" i="1"/>
  <c r="AK6" i="1" s="1"/>
  <c r="M2" i="20"/>
  <c r="L2" i="20"/>
  <c r="AL6" i="1" l="1"/>
  <c r="AN6" i="1"/>
  <c r="AO6" i="1"/>
  <c r="AO12" i="1"/>
  <c r="AN12" i="1"/>
  <c r="AL12" i="1"/>
  <c r="AO8" i="1"/>
  <c r="AL8" i="1"/>
  <c r="AN8" i="1"/>
  <c r="AL13" i="1"/>
  <c r="AN13" i="1"/>
  <c r="AO13" i="1"/>
  <c r="AL10" i="1"/>
  <c r="AN10" i="1"/>
  <c r="AO10" i="1"/>
  <c r="AL11" i="1"/>
  <c r="AO11" i="1"/>
  <c r="N2" i="20"/>
  <c r="I2" i="20" l="1"/>
  <c r="K2" i="20" s="1"/>
  <c r="V5" i="1"/>
  <c r="AM12" i="1"/>
  <c r="AM10" i="1"/>
  <c r="AM8" i="1"/>
  <c r="AM14" i="1"/>
  <c r="AM6" i="1"/>
  <c r="AM9" i="1"/>
  <c r="AM13" i="1"/>
  <c r="AM7" i="1"/>
  <c r="AM5" i="1"/>
  <c r="Z5" i="1"/>
  <c r="AJ5" i="1" s="1"/>
  <c r="AM11" i="1"/>
  <c r="U5" i="1" l="1"/>
  <c r="X5" i="1"/>
  <c r="AK5" i="1"/>
  <c r="T5" i="1"/>
  <c r="AD5" i="1" l="1"/>
  <c r="Y5" i="1"/>
  <c r="AL5" i="1"/>
  <c r="AH5" i="1"/>
  <c r="AC5" i="1"/>
  <c r="AO5" i="1"/>
  <c r="AN5" i="1"/>
  <c r="AF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094842-EF60-AC40-825F-9FC2249F7F28}" keepAlive="1" name="Query - ATOI Data" description="Connection to the 'ATOI Data' query in the workbook." type="5" refreshedVersion="8" background="1" saveData="1">
    <dbPr connection="Provider=Microsoft.Mashup.OleDb.1;Data Source=$Workbook$;Location=&quot;ATOI Data&quot;;Extended Properties=&quot;&quot;" command="SELECT * FROM [ATOI Dat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<sst xmlns="http://schemas.openxmlformats.org/spreadsheetml/2006/main" count="221" uniqueCount="109">
  <si>
    <t>Shares</t>
  </si>
  <si>
    <t>Capital Invested</t>
  </si>
  <si>
    <t>PNP Equity</t>
  </si>
  <si>
    <t>Start up 1</t>
  </si>
  <si>
    <t>Start up 2</t>
  </si>
  <si>
    <t>Start up 3</t>
  </si>
  <si>
    <t>Start up 4</t>
  </si>
  <si>
    <t>Start up 5</t>
  </si>
  <si>
    <t>Start up 6</t>
  </si>
  <si>
    <t>Start up 7</t>
  </si>
  <si>
    <t>Start up 8</t>
  </si>
  <si>
    <t>Start up 9</t>
  </si>
  <si>
    <t>Start up 10</t>
  </si>
  <si>
    <t>Tasks:</t>
  </si>
  <si>
    <t>Startup Portfolio</t>
  </si>
  <si>
    <t>Round 1</t>
  </si>
  <si>
    <t>Round 2</t>
  </si>
  <si>
    <t>Date of Wire</t>
  </si>
  <si>
    <t>Press/Public Announcement</t>
  </si>
  <si>
    <t>Date of Second Wire</t>
  </si>
  <si>
    <t>Plug and Play - Junior Portfolio Analyst Case Study 2025</t>
  </si>
  <si>
    <t>2. Create an analytical dashboard showcasing your findings and insights.</t>
  </si>
  <si>
    <t>1. Analyze and prepare the dataset.</t>
  </si>
  <si>
    <t>Round Size ($M 2025)</t>
  </si>
  <si>
    <t>Pre Money Val ($M 2025)</t>
  </si>
  <si>
    <t>Post Money Val ($M 2025)</t>
  </si>
  <si>
    <t>Pre Money Val ($M ATOI)</t>
  </si>
  <si>
    <t>Round Size ($M ATOI)</t>
  </si>
  <si>
    <t>Post Money Val ($M ATOI)</t>
  </si>
  <si>
    <t xml:space="preserve"> Post Money Val ($M ATOI)</t>
  </si>
  <si>
    <t xml:space="preserve"> Post Money Val ($M 2025)</t>
  </si>
  <si>
    <t>PPS ($ 2025)</t>
  </si>
  <si>
    <t>Capital Invested ($ 2025)</t>
  </si>
  <si>
    <t>Shares Outstanding (M)</t>
  </si>
  <si>
    <t>Capital Invested ($ ATOI)</t>
  </si>
  <si>
    <t>PPS ($ ATOI)</t>
  </si>
  <si>
    <t>Date</t>
  </si>
  <si>
    <t>Price</t>
  </si>
  <si>
    <t>FX Conversion</t>
  </si>
  <si>
    <t>Month</t>
  </si>
  <si>
    <t>CPI</t>
  </si>
  <si>
    <t>Inflation Factor</t>
  </si>
  <si>
    <t>Cashflow</t>
  </si>
  <si>
    <t>Startup 1</t>
  </si>
  <si>
    <t>Startup 2</t>
  </si>
  <si>
    <t>Startup 3</t>
  </si>
  <si>
    <t>Startup 4</t>
  </si>
  <si>
    <t>Startup 5</t>
  </si>
  <si>
    <t>Startup 6</t>
  </si>
  <si>
    <t>Startup 7</t>
  </si>
  <si>
    <t>Startup 8</t>
  </si>
  <si>
    <t>Startup 9</t>
  </si>
  <si>
    <t>Startup 10</t>
  </si>
  <si>
    <t>Round 1 Multiple</t>
  </si>
  <si>
    <t xml:space="preserve"> Capital Invested ($ ATOI)</t>
  </si>
  <si>
    <t>IRR</t>
  </si>
  <si>
    <t>Equity Value</t>
  </si>
  <si>
    <t>Valuation Date</t>
  </si>
  <si>
    <t>Company</t>
  </si>
  <si>
    <t>Portfolio Valuation Growth</t>
  </si>
  <si>
    <t>% Capital Invested</t>
  </si>
  <si>
    <t>close</t>
  </si>
  <si>
    <t>datetime</t>
  </si>
  <si>
    <t>Benchmark Cashflow</t>
  </si>
  <si>
    <t>Benchmark IRR</t>
  </si>
  <si>
    <t>Alpha</t>
  </si>
  <si>
    <t>Portfolio IRR</t>
  </si>
  <si>
    <t>Adjusted Cashflow</t>
  </si>
  <si>
    <t>Adjusted Benchmark Cashflow</t>
  </si>
  <si>
    <t>Adjusted Portfolio IRR</t>
  </si>
  <si>
    <t>Adjusted Benchmark Portfolio IRR</t>
  </si>
  <si>
    <t>Adjusted Alpha</t>
  </si>
  <si>
    <t>Benchmark Portfolio IRR</t>
  </si>
  <si>
    <t>Adjusted IRR</t>
  </si>
  <si>
    <t>Adjusted Benchmark IRR</t>
  </si>
  <si>
    <t>Adjusted Portfolio Valuation Growth</t>
  </si>
  <si>
    <t>Rd 1 Portfolio Multiple</t>
  </si>
  <si>
    <t>Adjusted Rd 1 Portfolio Multiple</t>
  </si>
  <si>
    <t>Adjusted Rd 1 Multiple</t>
  </si>
  <si>
    <t>RVPI</t>
  </si>
  <si>
    <t>Adjusted RVPI</t>
  </si>
  <si>
    <t>Portfolio RVPI</t>
  </si>
  <si>
    <t>Adjusted Portfolio RVPI</t>
  </si>
  <si>
    <t>Rd 1 Diversification Index</t>
  </si>
  <si>
    <t>Rd 2 Diversification Index</t>
  </si>
  <si>
    <t>Normalized</t>
  </si>
  <si>
    <t>Year</t>
  </si>
  <si>
    <t>$1B+</t>
  </si>
  <si>
    <t/>
  </si>
  <si>
    <t>Valuation</t>
  </si>
  <si>
    <t>$0-$5M</t>
  </si>
  <si>
    <t>$5-$15M</t>
  </si>
  <si>
    <t>$15-$30M</t>
  </si>
  <si>
    <t>$30-$50M</t>
  </si>
  <si>
    <t>$50-$100M</t>
  </si>
  <si>
    <t>$100-$250M</t>
  </si>
  <si>
    <t>$250-$500M</t>
  </si>
  <si>
    <t>$500M-$1B</t>
  </si>
  <si>
    <t>Round 1 Count</t>
  </si>
  <si>
    <t>Round 2 Count</t>
  </si>
  <si>
    <t>Equity Value ($ 2025)</t>
  </si>
  <si>
    <t>Sector</t>
  </si>
  <si>
    <t>AI &amp; Data</t>
  </si>
  <si>
    <t>Fintech</t>
  </si>
  <si>
    <t>Climate-Tech</t>
  </si>
  <si>
    <t>Biotech</t>
  </si>
  <si>
    <t>EdTech</t>
  </si>
  <si>
    <t>Profit</t>
  </si>
  <si>
    <t>Total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</si>
</sst>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&quot;$&quot;#,##0"/>
    <numFmt numFmtId="165" formatCode="&quot;$&quot;#,##0.000"/>
    <numFmt numFmtId="166" formatCode="0.0"/>
    <numFmt numFmtId="167" formatCode="&quot;$&quot;#,##0.00"/>
    <numFmt numFmtId="168" formatCode="[$€-2]\ #,##0"/>
    <numFmt numFmtId="169" formatCode="[$£-809]#,##0"/>
    <numFmt numFmtId="170" formatCode="#0.000"/>
    <numFmt numFmtId="171" formatCode="0.00&quot;x&quot;"/>
    <numFmt numFmtId="172" formatCode="[$$-409]#,##0.00"/>
    <numFmt numFmtId="173" formatCode="#,##0.0"/>
  </numFmts>
  <fonts count="17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42"/>
      <color rgb="FF313C51"/>
      <name val="Calibri"/>
      <family val="2"/>
    </font>
    <font>
      <b/>
      <sz val="12"/>
      <color rgb="FFFFFFFF"/>
      <name val="Calibri"/>
      <family val="2"/>
    </font>
    <font>
      <b/>
      <sz val="12"/>
      <color rgb="FF073763"/>
      <name val="Calibri"/>
      <family val="2"/>
    </font>
    <font>
      <b/>
      <sz val="12"/>
      <color rgb="FFFF0000"/>
      <name val="Calibri"/>
      <family val="2"/>
    </font>
    <font>
      <b/>
      <sz val="10"/>
      <color theme="1"/>
      <name val="Arial"/>
      <family val="2"/>
    </font>
    <font>
      <sz val="12"/>
      <color rgb="FF222222"/>
      <name val="Arial"/>
      <family val="2"/>
    </font>
    <font>
      <sz val="10"/>
      <color rgb="FF222222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theme="4" tint="0.79998168889431442"/>
        <bgColor rgb="FF073763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rgb="FF07376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2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2"/>
    </xf>
    <xf numFmtId="0" fontId="8" fillId="0" borderId="0" xfId="0" applyFont="1"/>
    <xf numFmtId="0" fontId="9" fillId="0" borderId="0" xfId="0" applyFont="1"/>
    <xf numFmtId="0" fontId="4" fillId="2" borderId="2" xfId="0" applyFont="1" applyFill="1" applyBorder="1" applyAlignment="1">
      <alignment horizontal="center" vertical="center" wrapText="1"/>
    </xf>
    <xf numFmtId="14" fontId="1" fillId="4" borderId="6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4" fontId="2" fillId="5" borderId="6" xfId="0" applyNumberFormat="1" applyFont="1" applyFill="1" applyBorder="1" applyAlignment="1">
      <alignment horizontal="center" vertical="center"/>
    </xf>
    <xf numFmtId="164" fontId="1" fillId="5" borderId="6" xfId="0" applyNumberFormat="1" applyFont="1" applyFill="1" applyBorder="1" applyAlignment="1">
      <alignment horizontal="center" vertical="center"/>
    </xf>
    <xf numFmtId="167" fontId="1" fillId="5" borderId="6" xfId="0" applyNumberFormat="1" applyFont="1" applyFill="1" applyBorder="1" applyAlignment="1">
      <alignment horizontal="center" vertical="center"/>
    </xf>
    <xf numFmtId="3" fontId="1" fillId="5" borderId="6" xfId="0" applyNumberFormat="1" applyFont="1" applyFill="1" applyBorder="1" applyAlignment="1">
      <alignment horizontal="center" vertical="center"/>
    </xf>
    <xf numFmtId="166" fontId="1" fillId="5" borderId="6" xfId="0" applyNumberFormat="1" applyFont="1" applyFill="1" applyBorder="1" applyAlignment="1">
      <alignment horizontal="center" vertical="center"/>
    </xf>
    <xf numFmtId="10" fontId="1" fillId="5" borderId="6" xfId="0" applyNumberFormat="1" applyFont="1" applyFill="1" applyBorder="1" applyAlignment="1">
      <alignment horizontal="center" vertical="center"/>
    </xf>
    <xf numFmtId="168" fontId="1" fillId="5" borderId="6" xfId="0" applyNumberFormat="1" applyFont="1" applyFill="1" applyBorder="1" applyAlignment="1">
      <alignment horizontal="center" vertical="center"/>
    </xf>
    <xf numFmtId="169" fontId="1" fillId="5" borderId="6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0" fillId="0" borderId="6" xfId="0" applyNumberFormat="1" applyBorder="1"/>
    <xf numFmtId="170" fontId="14" fillId="0" borderId="0" xfId="0" applyNumberFormat="1" applyFont="1" applyAlignment="1">
      <alignment horizontal="right"/>
    </xf>
    <xf numFmtId="170" fontId="14" fillId="0" borderId="6" xfId="0" applyNumberFormat="1" applyFont="1" applyBorder="1" applyAlignment="1">
      <alignment horizontal="right"/>
    </xf>
    <xf numFmtId="0" fontId="0" fillId="0" borderId="11" xfId="0" applyBorder="1"/>
    <xf numFmtId="14" fontId="1" fillId="0" borderId="6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 vertical="center"/>
    </xf>
    <xf numFmtId="10" fontId="1" fillId="0" borderId="0" xfId="2" applyNumberFormat="1" applyFont="1" applyFill="1" applyBorder="1" applyAlignment="1">
      <alignment horizontal="center" vertical="center"/>
    </xf>
    <xf numFmtId="14" fontId="10" fillId="0" borderId="0" xfId="0" applyNumberFormat="1" applyFont="1"/>
    <xf numFmtId="2" fontId="0" fillId="0" borderId="9" xfId="0" applyNumberFormat="1" applyBorder="1"/>
    <xf numFmtId="170" fontId="14" fillId="0" borderId="7" xfId="0" applyNumberFormat="1" applyFont="1" applyBorder="1" applyAlignment="1">
      <alignment horizontal="right"/>
    </xf>
    <xf numFmtId="17" fontId="13" fillId="0" borderId="8" xfId="0" applyNumberFormat="1" applyFont="1" applyBorder="1" applyAlignment="1">
      <alignment horizontal="left"/>
    </xf>
    <xf numFmtId="17" fontId="13" fillId="0" borderId="10" xfId="0" applyNumberFormat="1" applyFont="1" applyBorder="1" applyAlignment="1">
      <alignment horizontal="left"/>
    </xf>
    <xf numFmtId="17" fontId="0" fillId="0" borderId="0" xfId="0" applyNumberFormat="1"/>
    <xf numFmtId="0" fontId="1" fillId="7" borderId="3" xfId="0" applyFont="1" applyFill="1" applyBorder="1"/>
    <xf numFmtId="0" fontId="1" fillId="7" borderId="12" xfId="0" applyFont="1" applyFill="1" applyBorder="1"/>
    <xf numFmtId="17" fontId="1" fillId="7" borderId="4" xfId="0" applyNumberFormat="1" applyFont="1" applyFill="1" applyBorder="1"/>
    <xf numFmtId="14" fontId="0" fillId="0" borderId="8" xfId="0" applyNumberFormat="1" applyBorder="1"/>
    <xf numFmtId="0" fontId="0" fillId="0" borderId="9" xfId="0" applyBorder="1"/>
    <xf numFmtId="14" fontId="0" fillId="0" borderId="10" xfId="0" applyNumberFormat="1" applyBorder="1"/>
    <xf numFmtId="0" fontId="1" fillId="7" borderId="4" xfId="0" applyFont="1" applyFill="1" applyBorder="1"/>
    <xf numFmtId="173" fontId="1" fillId="5" borderId="6" xfId="0" applyNumberFormat="1" applyFont="1" applyFill="1" applyBorder="1" applyAlignment="1">
      <alignment horizontal="center" vertical="center"/>
    </xf>
    <xf numFmtId="172" fontId="1" fillId="5" borderId="6" xfId="0" applyNumberFormat="1" applyFont="1" applyFill="1" applyBorder="1" applyAlignment="1">
      <alignment horizontal="center" vertical="center"/>
    </xf>
    <xf numFmtId="14" fontId="2" fillId="10" borderId="6" xfId="0" applyNumberFormat="1" applyFont="1" applyFill="1" applyBorder="1" applyAlignment="1">
      <alignment horizontal="center" vertical="center"/>
    </xf>
    <xf numFmtId="164" fontId="1" fillId="10" borderId="6" xfId="0" applyNumberFormat="1" applyFont="1" applyFill="1" applyBorder="1" applyAlignment="1">
      <alignment horizontal="center" vertical="center"/>
    </xf>
    <xf numFmtId="3" fontId="1" fillId="10" borderId="6" xfId="0" applyNumberFormat="1" applyFont="1" applyFill="1" applyBorder="1" applyAlignment="1">
      <alignment horizontal="center" vertical="center"/>
    </xf>
    <xf numFmtId="165" fontId="1" fillId="10" borderId="6" xfId="0" applyNumberFormat="1" applyFont="1" applyFill="1" applyBorder="1" applyAlignment="1">
      <alignment horizontal="center" vertical="center"/>
    </xf>
    <xf numFmtId="166" fontId="1" fillId="10" borderId="6" xfId="0" applyNumberFormat="1" applyFont="1" applyFill="1" applyBorder="1" applyAlignment="1">
      <alignment horizontal="center" vertical="center"/>
    </xf>
    <xf numFmtId="2" fontId="1" fillId="10" borderId="6" xfId="0" applyNumberFormat="1" applyFont="1" applyFill="1" applyBorder="1" applyAlignment="1">
      <alignment horizontal="center" vertical="center"/>
    </xf>
    <xf numFmtId="173" fontId="1" fillId="10" borderId="6" xfId="0" applyNumberFormat="1" applyFont="1" applyFill="1" applyBorder="1" applyAlignment="1">
      <alignment horizontal="center" vertical="center"/>
    </xf>
    <xf numFmtId="10" fontId="1" fillId="10" borderId="6" xfId="2" applyNumberFormat="1" applyFont="1" applyFill="1" applyBorder="1" applyAlignment="1">
      <alignment horizontal="center" vertical="center"/>
    </xf>
    <xf numFmtId="2" fontId="0" fillId="10" borderId="6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9" fontId="0" fillId="11" borderId="6" xfId="2" applyFont="1" applyFill="1" applyBorder="1" applyAlignment="1">
      <alignment horizontal="center" vertical="center"/>
    </xf>
    <xf numFmtId="10" fontId="0" fillId="11" borderId="6" xfId="2" applyNumberFormat="1" applyFont="1" applyFill="1" applyBorder="1" applyAlignment="1">
      <alignment horizontal="center" vertical="center"/>
    </xf>
    <xf numFmtId="171" fontId="0" fillId="11" borderId="6" xfId="0" applyNumberFormat="1" applyFill="1" applyBorder="1" applyAlignment="1">
      <alignment horizontal="center" vertical="center"/>
    </xf>
    <xf numFmtId="172" fontId="1" fillId="10" borderId="6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0" fillId="10" borderId="13" xfId="0" applyFill="1" applyBorder="1"/>
    <xf numFmtId="0" fontId="0" fillId="10" borderId="10" xfId="0" applyFill="1" applyBorder="1"/>
    <xf numFmtId="44" fontId="1" fillId="10" borderId="6" xfId="1" applyFont="1" applyFill="1" applyBorder="1" applyAlignment="1">
      <alignment horizontal="center" vertical="center"/>
    </xf>
    <xf numFmtId="14" fontId="10" fillId="0" borderId="4" xfId="0" applyNumberFormat="1" applyFont="1" applyBorder="1"/>
    <xf numFmtId="14" fontId="10" fillId="0" borderId="12" xfId="0" applyNumberFormat="1" applyFont="1" applyBorder="1"/>
    <xf numFmtId="14" fontId="10" fillId="0" borderId="3" xfId="0" applyNumberFormat="1" applyFont="1" applyBorder="1"/>
    <xf numFmtId="14" fontId="10" fillId="0" borderId="8" xfId="0" applyNumberFormat="1" applyFont="1" applyBorder="1"/>
    <xf numFmtId="14" fontId="1" fillId="8" borderId="6" xfId="0" applyNumberFormat="1" applyFont="1" applyFill="1" applyBorder="1"/>
    <xf numFmtId="14" fontId="1" fillId="0" borderId="6" xfId="0" applyNumberFormat="1" applyFont="1" applyBorder="1"/>
    <xf numFmtId="14" fontId="10" fillId="0" borderId="10" xfId="0" applyNumberFormat="1" applyFont="1" applyBorder="1"/>
    <xf numFmtId="14" fontId="1" fillId="0" borderId="7" xfId="0" applyNumberFormat="1" applyFont="1" applyBorder="1"/>
    <xf numFmtId="0" fontId="15" fillId="6" borderId="6" xfId="0" applyFont="1" applyFill="1" applyBorder="1" applyAlignment="1">
      <alignment vertical="center"/>
    </xf>
    <xf numFmtId="9" fontId="15" fillId="0" borderId="6" xfId="2" applyFont="1" applyBorder="1" applyAlignment="1">
      <alignment vertical="center"/>
    </xf>
    <xf numFmtId="0" fontId="16" fillId="6" borderId="6" xfId="0" applyFont="1" applyFill="1" applyBorder="1"/>
    <xf numFmtId="171" fontId="16" fillId="0" borderId="6" xfId="0" applyNumberFormat="1" applyFont="1" applyBorder="1"/>
    <xf numFmtId="9" fontId="16" fillId="0" borderId="6" xfId="2" applyFont="1" applyBorder="1"/>
    <xf numFmtId="0" fontId="10" fillId="0" borderId="0" xfId="0" applyFont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 wrapText="1"/>
    </xf>
    <xf numFmtId="44" fontId="1" fillId="0" borderId="6" xfId="1" applyFont="1" applyFill="1" applyBorder="1" applyAlignment="1">
      <alignment horizontal="center" vertical="center"/>
    </xf>
    <xf numFmtId="44" fontId="0" fillId="0" borderId="6" xfId="1" applyFont="1" applyBorder="1"/>
    <xf numFmtId="44" fontId="1" fillId="8" borderId="6" xfId="1" applyFont="1" applyFill="1" applyBorder="1"/>
    <xf numFmtId="44" fontId="1" fillId="0" borderId="6" xfId="1" applyFont="1" applyBorder="1"/>
    <xf numFmtId="9" fontId="0" fillId="11" borderId="6" xfId="0" applyNumberFormat="1" applyFill="1" applyBorder="1" applyAlignment="1">
      <alignment horizontal="center" vertical="center"/>
    </xf>
    <xf numFmtId="9" fontId="15" fillId="0" borderId="6" xfId="0" applyNumberFormat="1" applyFont="1" applyBorder="1" applyAlignment="1">
      <alignment vertical="center"/>
    </xf>
    <xf numFmtId="2" fontId="16" fillId="0" borderId="6" xfId="2" applyNumberFormat="1" applyFont="1" applyBorder="1"/>
    <xf numFmtId="10" fontId="0" fillId="11" borderId="6" xfId="2" applyNumberFormat="1" applyFont="1" applyFill="1" applyBorder="1" applyAlignment="1">
      <alignment horizontal="center"/>
    </xf>
    <xf numFmtId="10" fontId="0" fillId="11" borderId="6" xfId="0" applyNumberFormat="1" applyFill="1" applyBorder="1"/>
    <xf numFmtId="9" fontId="16" fillId="0" borderId="6" xfId="0" applyNumberFormat="1" applyFont="1" applyBorder="1"/>
    <xf numFmtId="2" fontId="16" fillId="0" borderId="6" xfId="0" applyNumberFormat="1" applyFont="1" applyBorder="1"/>
    <xf numFmtId="44" fontId="1" fillId="0" borderId="6" xfId="1" applyFont="1" applyBorder="1" applyAlignment="1">
      <alignment horizontal="center" vertical="center"/>
    </xf>
    <xf numFmtId="167" fontId="1" fillId="0" borderId="6" xfId="0" applyNumberFormat="1" applyFont="1" applyBorder="1" applyAlignment="1">
      <alignment horizontal="center" vertical="center"/>
    </xf>
    <xf numFmtId="0" fontId="10" fillId="0" borderId="0" xfId="0" applyFont="1"/>
    <xf numFmtId="0" fontId="1" fillId="0" borderId="15" xfId="0" applyFont="1" applyBorder="1"/>
    <xf numFmtId="9" fontId="1" fillId="0" borderId="16" xfId="2" applyFont="1" applyFill="1" applyBorder="1"/>
    <xf numFmtId="9" fontId="10" fillId="0" borderId="0" xfId="2" applyFont="1"/>
    <xf numFmtId="9" fontId="0" fillId="0" borderId="0" xfId="2" applyFont="1"/>
    <xf numFmtId="0" fontId="1" fillId="0" borderId="6" xfId="0" applyFont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5" fillId="6" borderId="17" xfId="0" applyFont="1" applyFill="1" applyBorder="1" applyAlignment="1">
      <alignment vertical="center"/>
    </xf>
    <xf numFmtId="44" fontId="16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27">
    <dxf>
      <numFmt numFmtId="19" formatCode="m/d/yy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170" formatCode="#0.0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22" formatCode="mmm\-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m/d/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m/d/yy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</dxfs>
  <tableStyles count="0" defaultTableStyle="TableStyleMedium2" defaultPivotStyle="PivotStyleLight16"/>
  <colors>
    <mruColors>
      <color rgb="FF0737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4EFDD7-1B8C-C844-9140-41D3DC4E31B4}" name="Table3" displayName="Table3" ref="A1:C10" totalsRowShown="0" headerRowDxfId="26">
  <autoFilter ref="A1:C10" xr:uid="{AC4EFDD7-1B8C-C844-9140-41D3DC4E31B4}"/>
  <tableColumns count="3">
    <tableColumn id="1" xr3:uid="{978FB00D-4333-354F-81A5-668E2821EFCC}" name="Valuation" dataDxfId="25"/>
    <tableColumn id="2" xr3:uid="{B623151C-B793-C14E-9E27-786FF9E938FA}" name="Round 1 Count"/>
    <tableColumn id="3" xr3:uid="{E551EBBA-0534-CF41-8FD1-26F14D32454F}" name="Round 2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DD078CA-17F4-7947-8142-50CDBA936655}" name="Table22" displayName="Table22" ref="A1:F27" totalsRowShown="0" headerRowDxfId="24" headerRowBorderDxfId="23" tableBorderDxfId="22" totalsRowBorderDxfId="21">
  <autoFilter ref="A1:F27" xr:uid="{7DD078CA-17F4-7947-8142-50CDBA936655}"/>
  <tableColumns count="6">
    <tableColumn id="1" xr3:uid="{AA54CD96-3F1E-7B4A-B28B-B503A364A066}" name="Company" dataDxfId="20"/>
    <tableColumn id="2" xr3:uid="{3F8042CF-2310-814C-BBCD-364BA23E0F72}" name="Date" dataDxfId="19"/>
    <tableColumn id="3" xr3:uid="{FC3C08AC-9311-9641-8363-9130B1C175EB}" name="Cashflow" dataDxfId="18" dataCellStyle="Currency"/>
    <tableColumn id="4" xr3:uid="{ED4210A0-0053-1140-9E09-A27BD5563B2B}" name="Benchmark Cashflow" dataDxfId="17" dataCellStyle="Currency"/>
    <tableColumn id="6" xr3:uid="{9C511E05-1D0B-D64B-A18B-FB4466F437D9}" name="Adjusted Cashflow" dataDxfId="16" dataCellStyle="Currency">
      <calculatedColumnFormula>VLOOKUP(Table22[[#This Row],[Date]],Table15[],3,TRUE)*Table22[[#This Row],[Cashflow]]</calculatedColumnFormula>
    </tableColumn>
    <tableColumn id="7" xr3:uid="{9D77075B-F504-2B46-9C7C-17B83461F364}" name="Adjusted Benchmark Cashflow" dataDxfId="15">
      <calculatedColumnFormula>VLOOKUP(Table22[[#This Row],[Date]],Table15[],3,TRUE)*Table22[[#This Row],[Benchmark Cashflow]]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72680F7-CFBE-1049-856B-20362ECBFC10}" name="Table15" displayName="Table15" ref="A1:C178" totalsRowShown="0" headerRowDxfId="14" headerRowBorderDxfId="13" tableBorderDxfId="12" totalsRowBorderDxfId="11">
  <autoFilter ref="A1:C178" xr:uid="{172680F7-CFBE-1049-856B-20362ECBFC10}"/>
  <tableColumns count="3">
    <tableColumn id="1" xr3:uid="{8E1E5218-CD70-5748-A388-5AAC6E2C1670}" name="Month" dataDxfId="10"/>
    <tableColumn id="2" xr3:uid="{86FFB6E5-956E-1441-8D76-5AF2926B3D98}" name="CPI" dataDxfId="9"/>
    <tableColumn id="3" xr3:uid="{BF01BDE2-C396-C549-80BA-9B23AC624FA4}" name="Inflation Factor" dataDxfId="8">
      <calculatedColumnFormula>$B$178/B2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5949ED7-161E-F74E-908E-087467FB683E}" name="Table25" displayName="Table25" ref="A1:C1048576" totalsRowShown="0">
  <autoFilter ref="A1:C1048576" xr:uid="{95949ED7-161E-F74E-908E-087467FB683E}"/>
  <tableColumns count="3">
    <tableColumn id="2" xr3:uid="{BC1E2F17-FBC4-0A49-B1A0-637C50D86972}" name="datetime"/>
    <tableColumn id="1" xr3:uid="{952DF77E-2C81-2A40-BB88-2BE0245105D7}" name="close"/>
    <tableColumn id="3" xr3:uid="{B7833617-A5DD-BD4A-958E-8EC87423FEC7}" name="Normalized" dataDxfId="7">
      <calculatedColumnFormula>(B2 / $B$2)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4EF712E-0231-9E45-92FB-EB8372A62859}" name="Table16" displayName="Table16" ref="A1:B2633" totalsRowShown="0" headerRowDxfId="6" headerRowBorderDxfId="5" tableBorderDxfId="4" totalsRowBorderDxfId="3">
  <autoFilter ref="A1:B2633" xr:uid="{04EF712E-0231-9E45-92FB-EB8372A62859}"/>
  <sortState xmlns:xlrd2="http://schemas.microsoft.com/office/spreadsheetml/2017/richdata2" ref="A2:B2633">
    <sortCondition ref="A1:A2633"/>
  </sortState>
  <tableColumns count="2">
    <tableColumn id="1" xr3:uid="{A511221D-DBAF-504F-B31C-D0C60F6C8035}" name="Date" dataDxfId="2"/>
    <tableColumn id="2" xr3:uid="{BFEF589A-0EF8-F54A-B9D6-1C7352CE90A7}" name="Price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61A50F9-8A93-E941-9A78-5A4A709767B6}" name="Table18" displayName="Table18" ref="A1:B2633" totalsRowShown="0">
  <autoFilter ref="A1:B2633" xr:uid="{861A50F9-8A93-E941-9A78-5A4A709767B6}"/>
  <sortState xmlns:xlrd2="http://schemas.microsoft.com/office/spreadsheetml/2017/richdata2" ref="A2:B2633">
    <sortCondition ref="A1:A2633"/>
  </sortState>
  <tableColumns count="2">
    <tableColumn id="1" xr3:uid="{7B551E13-36E6-8443-8106-21AF9A3FE185}" name="Date" dataDxfId="0"/>
    <tableColumn id="2" xr3:uid="{94E064B4-F43A-6649-92E3-284731FB004E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7EBF2-A788-8A4F-B11F-8A876580DD32}">
  <dimension ref="A1:AX11"/>
  <sheetViews>
    <sheetView tabSelected="1" zoomScale="83" workbookViewId="0">
      <selection activeCell="AL36" sqref="AL36:AL37"/>
    </sheetView>
  </sheetViews>
  <sheetFormatPr baseColWidth="10" defaultRowHeight="13" x14ac:dyDescent="0.15"/>
  <cols>
    <col min="37" max="38" width="14.6640625" bestFit="1" customWidth="1"/>
    <col min="39" max="39" width="13.6640625" customWidth="1"/>
  </cols>
  <sheetData>
    <row r="1" spans="1:50" ht="68" x14ac:dyDescent="0.15">
      <c r="A1" s="12" t="s">
        <v>14</v>
      </c>
      <c r="B1" s="10" t="s">
        <v>18</v>
      </c>
      <c r="C1" s="10" t="s">
        <v>17</v>
      </c>
      <c r="D1" s="10" t="s">
        <v>1</v>
      </c>
      <c r="E1" s="10" t="s">
        <v>38</v>
      </c>
      <c r="F1" s="10" t="s">
        <v>41</v>
      </c>
      <c r="G1" s="10" t="s">
        <v>34</v>
      </c>
      <c r="H1" s="10" t="s">
        <v>32</v>
      </c>
      <c r="I1" s="10" t="s">
        <v>0</v>
      </c>
      <c r="J1" s="10" t="s">
        <v>33</v>
      </c>
      <c r="K1" s="10" t="s">
        <v>35</v>
      </c>
      <c r="L1" s="10" t="s">
        <v>31</v>
      </c>
      <c r="M1" s="10" t="s">
        <v>23</v>
      </c>
      <c r="N1" s="10" t="s">
        <v>27</v>
      </c>
      <c r="O1" s="10" t="s">
        <v>24</v>
      </c>
      <c r="P1" s="10" t="s">
        <v>26</v>
      </c>
      <c r="Q1" s="10" t="s">
        <v>25</v>
      </c>
      <c r="R1" s="10" t="s">
        <v>28</v>
      </c>
      <c r="S1" s="10" t="s">
        <v>2</v>
      </c>
      <c r="T1" s="67" t="s">
        <v>18</v>
      </c>
      <c r="U1" s="67" t="s">
        <v>57</v>
      </c>
      <c r="V1" s="67" t="s">
        <v>19</v>
      </c>
      <c r="W1" s="67" t="s">
        <v>54</v>
      </c>
      <c r="X1" s="67" t="s">
        <v>41</v>
      </c>
      <c r="Y1" s="67" t="s">
        <v>32</v>
      </c>
      <c r="Z1" s="67" t="s">
        <v>0</v>
      </c>
      <c r="AA1" s="67" t="s">
        <v>33</v>
      </c>
      <c r="AB1" s="67" t="s">
        <v>35</v>
      </c>
      <c r="AC1" s="67" t="s">
        <v>31</v>
      </c>
      <c r="AD1" s="67" t="s">
        <v>23</v>
      </c>
      <c r="AE1" s="67" t="s">
        <v>27</v>
      </c>
      <c r="AF1" s="67" t="s">
        <v>24</v>
      </c>
      <c r="AG1" s="67" t="s">
        <v>26</v>
      </c>
      <c r="AH1" s="68" t="s">
        <v>30</v>
      </c>
      <c r="AI1" s="68" t="s">
        <v>29</v>
      </c>
      <c r="AJ1" s="68" t="s">
        <v>2</v>
      </c>
      <c r="AK1" s="68" t="s">
        <v>56</v>
      </c>
      <c r="AL1" s="68" t="s">
        <v>100</v>
      </c>
      <c r="AM1" s="68" t="s">
        <v>60</v>
      </c>
      <c r="AN1" s="68" t="s">
        <v>79</v>
      </c>
      <c r="AO1" s="68" t="s">
        <v>80</v>
      </c>
      <c r="AP1" s="68" t="s">
        <v>53</v>
      </c>
      <c r="AQ1" s="68" t="s">
        <v>78</v>
      </c>
      <c r="AR1" s="68" t="s">
        <v>55</v>
      </c>
      <c r="AS1" s="68" t="s">
        <v>64</v>
      </c>
      <c r="AT1" s="68" t="s">
        <v>65</v>
      </c>
      <c r="AU1" s="68" t="s">
        <v>73</v>
      </c>
      <c r="AV1" s="68" t="s">
        <v>74</v>
      </c>
      <c r="AW1" s="68" t="s">
        <v>71</v>
      </c>
      <c r="AX1" s="10" t="s">
        <v>101</v>
      </c>
    </row>
    <row r="2" spans="1:50" x14ac:dyDescent="0.15">
      <c r="A2" s="13" t="s">
        <v>3</v>
      </c>
      <c r="B2" s="14">
        <v>41797</v>
      </c>
      <c r="C2" s="11">
        <v>41777</v>
      </c>
      <c r="D2" s="15">
        <v>86789</v>
      </c>
      <c r="E2" s="16">
        <v>1</v>
      </c>
      <c r="F2" s="62">
        <v>1.3652795292139555</v>
      </c>
      <c r="G2" s="16">
        <v>86789</v>
      </c>
      <c r="H2" s="16">
        <v>118491.24506094998</v>
      </c>
      <c r="I2" s="17">
        <v>449185</v>
      </c>
      <c r="J2" s="51">
        <v>207.02393160423557</v>
      </c>
      <c r="K2" s="52">
        <v>0.19321437714972672</v>
      </c>
      <c r="L2" s="52">
        <v>0.26379163387234655</v>
      </c>
      <c r="M2" s="52">
        <v>19.156322645516951</v>
      </c>
      <c r="N2" s="18">
        <v>14.031062676627101</v>
      </c>
      <c r="O2" s="18">
        <v>4.2173447597942444E-4</v>
      </c>
      <c r="P2" s="18">
        <v>25.968937323372899</v>
      </c>
      <c r="Q2" s="18">
        <v>6.8263976460697773</v>
      </c>
      <c r="R2" s="18">
        <v>40</v>
      </c>
      <c r="S2" s="19">
        <v>2.169725E-3</v>
      </c>
      <c r="T2" s="53">
        <v>43952</v>
      </c>
      <c r="U2" s="53">
        <v>43944</v>
      </c>
      <c r="V2" s="11">
        <v>43944</v>
      </c>
      <c r="W2" s="54">
        <v>2157352.8183745458</v>
      </c>
      <c r="X2" s="61">
        <v>1.2668250197941409</v>
      </c>
      <c r="Y2" s="54">
        <v>2732988.5268402793</v>
      </c>
      <c r="Z2" s="55">
        <v>3897870.5822928315</v>
      </c>
      <c r="AA2" s="59">
        <v>225.20332001172849</v>
      </c>
      <c r="AB2" s="66">
        <v>0.55346958623380804</v>
      </c>
      <c r="AC2" s="66">
        <v>0.70114911953609882</v>
      </c>
      <c r="AD2" s="58">
        <v>12.746462175618433</v>
      </c>
      <c r="AE2" s="57">
        <v>10.061738579878801</v>
      </c>
      <c r="AF2" s="57">
        <v>122.65148483796443</v>
      </c>
      <c r="AG2" s="57">
        <v>96.818015843968169</v>
      </c>
      <c r="AH2" s="57">
        <v>135.39794701358286</v>
      </c>
      <c r="AI2" s="57">
        <v>106.87975442384698</v>
      </c>
      <c r="AJ2" s="60">
        <v>1.9302804159665312E-2</v>
      </c>
      <c r="AK2" s="71">
        <v>2063078.9682766404</v>
      </c>
      <c r="AL2" s="71">
        <v>2613560.0548239308</v>
      </c>
      <c r="AM2" s="64">
        <v>0.28354604081071039</v>
      </c>
      <c r="AN2" s="65">
        <v>0.91931755443644336</v>
      </c>
      <c r="AO2" s="65">
        <v>23.770856384576739</v>
      </c>
      <c r="AP2" s="65">
        <v>2.864536244137311</v>
      </c>
      <c r="AQ2" s="65">
        <v>0.75564069612753615</v>
      </c>
      <c r="AR2" s="63">
        <v>-0.17202846333384514</v>
      </c>
      <c r="AS2" s="63">
        <v>0.10732720494270326</v>
      </c>
      <c r="AT2" s="91">
        <v>-0.2793556682765484</v>
      </c>
      <c r="AU2" s="94">
        <v>-0.18723581060767175</v>
      </c>
      <c r="AV2" s="63">
        <v>8.6988934874534629E-2</v>
      </c>
      <c r="AW2" s="95">
        <v>-0.27422474548220638</v>
      </c>
      <c r="AX2" s="105" t="s">
        <v>102</v>
      </c>
    </row>
    <row r="3" spans="1:50" x14ac:dyDescent="0.15">
      <c r="A3" s="13" t="s">
        <v>4</v>
      </c>
      <c r="B3" s="14">
        <v>41930</v>
      </c>
      <c r="C3" s="11">
        <v>41914</v>
      </c>
      <c r="D3" s="15">
        <v>125403</v>
      </c>
      <c r="E3" s="16">
        <v>1</v>
      </c>
      <c r="F3" s="62">
        <v>1.367964857454524</v>
      </c>
      <c r="G3" s="16">
        <v>125403</v>
      </c>
      <c r="H3" s="16">
        <v>171546.89701936967</v>
      </c>
      <c r="I3" s="17">
        <v>375516</v>
      </c>
      <c r="J3" s="51">
        <v>14.972369082079375</v>
      </c>
      <c r="K3" s="52">
        <v>0.33394848688205031</v>
      </c>
      <c r="L3" s="52">
        <v>0.45682979425475795</v>
      </c>
      <c r="M3" s="52">
        <v>3.5554428136059695</v>
      </c>
      <c r="N3" s="18">
        <v>2.5990746722995879</v>
      </c>
      <c r="O3" s="18">
        <v>3.2843814736666506</v>
      </c>
      <c r="P3" s="18">
        <v>2.4009253277004121</v>
      </c>
      <c r="Q3" s="18">
        <v>41.03894572363572</v>
      </c>
      <c r="R3" s="18">
        <v>5</v>
      </c>
      <c r="S3" s="19">
        <v>2.5080600000000002E-2</v>
      </c>
      <c r="T3" s="53">
        <v>44476</v>
      </c>
      <c r="U3" s="53">
        <v>44466</v>
      </c>
      <c r="V3" s="11">
        <v>44466</v>
      </c>
      <c r="W3" s="54">
        <v>81537.494781678673</v>
      </c>
      <c r="X3" s="61">
        <v>1.1840618278589916</v>
      </c>
      <c r="Y3" s="54">
        <v>96545.435110237435</v>
      </c>
      <c r="Z3" s="55">
        <v>623120.66736841516</v>
      </c>
      <c r="AA3" s="59">
        <v>17.778198235794964</v>
      </c>
      <c r="AB3" s="66">
        <v>0.13085345913180935</v>
      </c>
      <c r="AC3" s="56">
        <v>0.15493858600128202</v>
      </c>
      <c r="AD3" s="58">
        <v>0.4347312016378671</v>
      </c>
      <c r="AE3" s="57">
        <v>0.36715245049656198</v>
      </c>
      <c r="AF3" s="57">
        <v>1.9801721763259406</v>
      </c>
      <c r="AG3" s="57">
        <v>1.6723553869703471</v>
      </c>
      <c r="AH3" s="57">
        <v>2.4149033779638076</v>
      </c>
      <c r="AI3" s="57">
        <v>2.0395078374669091</v>
      </c>
      <c r="AJ3" s="60">
        <v>5.6171984029165616E-2</v>
      </c>
      <c r="AK3" s="71">
        <v>114563.20167354932</v>
      </c>
      <c r="AL3" s="71">
        <v>135649.91397896109</v>
      </c>
      <c r="AM3" s="64">
        <v>2.6146813672076618E-2</v>
      </c>
      <c r="AN3" s="65">
        <v>0.55360456054970297</v>
      </c>
      <c r="AO3" s="65">
        <v>0.91355166919364006</v>
      </c>
      <c r="AP3" s="65">
        <v>0.39183725715764789</v>
      </c>
      <c r="AQ3" s="65">
        <v>0.17900293356867697</v>
      </c>
      <c r="AR3" s="63">
        <v>0.31161283850669863</v>
      </c>
      <c r="AS3" s="63">
        <v>0.17326212525367743</v>
      </c>
      <c r="AT3" s="91">
        <v>0.1383507132530212</v>
      </c>
      <c r="AU3" s="94">
        <v>0.27982619404792775</v>
      </c>
      <c r="AV3" s="63">
        <v>0.14482838511466981</v>
      </c>
      <c r="AW3" s="95">
        <v>0.13499780893325794</v>
      </c>
      <c r="AX3" s="105" t="s">
        <v>103</v>
      </c>
    </row>
    <row r="4" spans="1:50" x14ac:dyDescent="0.15">
      <c r="A4" s="13" t="s">
        <v>5</v>
      </c>
      <c r="B4" s="14">
        <v>42394</v>
      </c>
      <c r="C4" s="11">
        <v>42374</v>
      </c>
      <c r="D4" s="20">
        <v>161661</v>
      </c>
      <c r="E4" s="16">
        <v>1.0746</v>
      </c>
      <c r="F4" s="62">
        <v>1.3709500413648721</v>
      </c>
      <c r="G4" s="16">
        <v>173720.9106</v>
      </c>
      <c r="H4" s="16">
        <v>238162.68957301325</v>
      </c>
      <c r="I4" s="17">
        <v>416727</v>
      </c>
      <c r="J4" s="51">
        <v>71.964911747359906</v>
      </c>
      <c r="K4" s="52">
        <v>0.41686982268967454</v>
      </c>
      <c r="L4" s="52">
        <v>0.5715077006601762</v>
      </c>
      <c r="M4" s="52">
        <v>5.5957927926197302</v>
      </c>
      <c r="N4" s="18">
        <v>4.0816897945082999</v>
      </c>
      <c r="O4" s="18">
        <v>35.532708448326431</v>
      </c>
      <c r="P4" s="18">
        <v>25.9183102054917</v>
      </c>
      <c r="Q4" s="18">
        <v>20.564250620473082</v>
      </c>
      <c r="R4" s="18">
        <v>30</v>
      </c>
      <c r="S4" s="19">
        <v>5.79069702E-3</v>
      </c>
      <c r="T4" s="53" t="s">
        <v>88</v>
      </c>
      <c r="U4" s="53">
        <v>44051</v>
      </c>
      <c r="V4" s="11" t="s">
        <v>88</v>
      </c>
      <c r="W4" s="54">
        <v>0</v>
      </c>
      <c r="X4" s="61">
        <v>1.2496248816934572</v>
      </c>
      <c r="Y4" s="54">
        <v>0</v>
      </c>
      <c r="Z4" s="55">
        <v>0</v>
      </c>
      <c r="AA4" s="59">
        <v>84.83275370925692</v>
      </c>
      <c r="AB4" s="66">
        <v>5.0109431825387167</v>
      </c>
      <c r="AC4" s="56">
        <v>6.2617992816525794</v>
      </c>
      <c r="AD4" s="58">
        <v>80.575843553425656</v>
      </c>
      <c r="AE4" s="57">
        <v>64.480024952953471</v>
      </c>
      <c r="AF4" s="57">
        <v>405.35778611638636</v>
      </c>
      <c r="AG4" s="57">
        <v>324.38357466686853</v>
      </c>
      <c r="AH4" s="57">
        <v>485.93362966981203</v>
      </c>
      <c r="AI4" s="57">
        <v>388.86359961982203</v>
      </c>
      <c r="AJ4" s="60">
        <v>4.9123361175829293E-3</v>
      </c>
      <c r="AK4" s="71">
        <v>1910228.7052257592</v>
      </c>
      <c r="AL4" s="71">
        <v>2387069.3197751851</v>
      </c>
      <c r="AM4" s="64">
        <v>2.1949538127826226E-2</v>
      </c>
      <c r="AN4" s="65">
        <v>10.995962999665275</v>
      </c>
      <c r="AO4" s="65">
        <v>10.995883903084017</v>
      </c>
      <c r="AP4" s="65">
        <v>12.020402796747785</v>
      </c>
      <c r="AQ4" s="65">
        <v>6.8697527633784778</v>
      </c>
      <c r="AR4" s="63">
        <v>1.3404427647590638</v>
      </c>
      <c r="AS4" s="63">
        <v>0.10093097090721131</v>
      </c>
      <c r="AT4" s="91">
        <v>1.2395117938518525</v>
      </c>
      <c r="AU4" s="94">
        <v>1.3214269042015079</v>
      </c>
      <c r="AV4" s="63">
        <v>9.1986009478569011E-2</v>
      </c>
      <c r="AW4" s="95">
        <v>1.2294408947229389</v>
      </c>
      <c r="AX4" s="105" t="s">
        <v>104</v>
      </c>
    </row>
    <row r="5" spans="1:50" x14ac:dyDescent="0.15">
      <c r="A5" s="13" t="s">
        <v>6</v>
      </c>
      <c r="B5" s="14">
        <v>42243</v>
      </c>
      <c r="C5" s="11">
        <v>42227</v>
      </c>
      <c r="D5" s="15">
        <v>160214</v>
      </c>
      <c r="E5" s="16">
        <v>1</v>
      </c>
      <c r="F5" s="62">
        <v>1.3628963225297503</v>
      </c>
      <c r="G5" s="16">
        <v>160214</v>
      </c>
      <c r="H5" s="16">
        <v>218355.07141778141</v>
      </c>
      <c r="I5" s="17">
        <v>495644</v>
      </c>
      <c r="J5" s="51">
        <v>46.404558902467954</v>
      </c>
      <c r="K5" s="52">
        <v>0.32324410262204323</v>
      </c>
      <c r="L5" s="52">
        <v>0.44054819874301193</v>
      </c>
      <c r="M5" s="52">
        <v>7.3962103108279136</v>
      </c>
      <c r="N5" s="18">
        <v>5.426832686069166</v>
      </c>
      <c r="O5" s="18">
        <v>13.047234527118343</v>
      </c>
      <c r="P5" s="18">
        <v>9.5731673139308349</v>
      </c>
      <c r="Q5" s="18">
        <v>13.628963225297504</v>
      </c>
      <c r="R5" s="18">
        <v>15</v>
      </c>
      <c r="S5" s="19">
        <v>1.0680933333333333E-2</v>
      </c>
      <c r="T5" s="53" t="s">
        <v>88</v>
      </c>
      <c r="U5" s="53">
        <v>43860</v>
      </c>
      <c r="V5" s="11" t="s">
        <v>88</v>
      </c>
      <c r="W5" s="54">
        <v>0</v>
      </c>
      <c r="X5" s="61">
        <v>1.2590562505087781</v>
      </c>
      <c r="Y5" s="54">
        <v>0</v>
      </c>
      <c r="Z5" s="55">
        <v>0</v>
      </c>
      <c r="AA5" s="59">
        <v>49.846582073517268</v>
      </c>
      <c r="AB5" s="66">
        <v>1.1409535140897851</v>
      </c>
      <c r="AC5" s="56">
        <v>1.4365246534546992</v>
      </c>
      <c r="AD5" s="58">
        <v>4.9445511429746656</v>
      </c>
      <c r="AE5" s="57">
        <v>3.9271884325871844</v>
      </c>
      <c r="AF5" s="57">
        <v>52.458653664660709</v>
      </c>
      <c r="AG5" s="57">
        <v>41.665059558270279</v>
      </c>
      <c r="AH5" s="57">
        <v>57.403204807635376</v>
      </c>
      <c r="AI5" s="57">
        <v>45.592247990857466</v>
      </c>
      <c r="AJ5" s="60">
        <v>9.9433898851678353E-3</v>
      </c>
      <c r="AK5" s="71">
        <v>453341.49751435569</v>
      </c>
      <c r="AL5" s="71">
        <v>570782.44606045925</v>
      </c>
      <c r="AM5" s="64">
        <v>2.0242947665112865E-2</v>
      </c>
      <c r="AN5" s="65">
        <v>2.8295997697726523</v>
      </c>
      <c r="AO5" s="65">
        <v>2.8295775332809625</v>
      </c>
      <c r="AP5" s="65">
        <v>3.5296963033038149</v>
      </c>
      <c r="AQ5" s="65">
        <v>1.5550013485303638</v>
      </c>
      <c r="AR5" s="63">
        <v>0.41199495196342473</v>
      </c>
      <c r="AS5" s="63">
        <v>0.10365762114524843</v>
      </c>
      <c r="AT5" s="91">
        <v>0.30833733081817627</v>
      </c>
      <c r="AU5" s="94">
        <v>0.38598240017890928</v>
      </c>
      <c r="AV5" s="63">
        <v>8.3325430750846877E-2</v>
      </c>
      <c r="AW5" s="95">
        <v>0.30265696942806242</v>
      </c>
      <c r="AX5" s="105" t="s">
        <v>105</v>
      </c>
    </row>
    <row r="6" spans="1:50" x14ac:dyDescent="0.15">
      <c r="A6" s="13" t="s">
        <v>7</v>
      </c>
      <c r="B6" s="14">
        <v>41535</v>
      </c>
      <c r="C6" s="11">
        <v>41527</v>
      </c>
      <c r="D6" s="15">
        <v>100809</v>
      </c>
      <c r="E6" s="16">
        <v>1</v>
      </c>
      <c r="F6" s="62">
        <v>1.3871509167239664</v>
      </c>
      <c r="G6" s="16">
        <v>100809</v>
      </c>
      <c r="H6" s="16">
        <v>139837.29676402634</v>
      </c>
      <c r="I6" s="17">
        <v>453378</v>
      </c>
      <c r="J6" s="51">
        <v>44.973960658274564</v>
      </c>
      <c r="K6" s="52">
        <v>0.22235088601564257</v>
      </c>
      <c r="L6" s="52">
        <v>0.30843423537098474</v>
      </c>
      <c r="M6" s="52">
        <v>4.9939468440408721</v>
      </c>
      <c r="N6" s="18">
        <v>3.6001467351764966</v>
      </c>
      <c r="O6" s="18">
        <v>8.8775623231987932</v>
      </c>
      <c r="P6" s="18">
        <v>6.3998532648235038</v>
      </c>
      <c r="Q6" s="18">
        <v>13.871509167239664</v>
      </c>
      <c r="R6" s="18">
        <v>10</v>
      </c>
      <c r="S6" s="19">
        <v>1.00809E-2</v>
      </c>
      <c r="T6" s="53">
        <v>44152</v>
      </c>
      <c r="U6" s="53">
        <v>44134</v>
      </c>
      <c r="V6" s="11">
        <v>44134</v>
      </c>
      <c r="W6" s="54">
        <v>94537.208254115962</v>
      </c>
      <c r="X6" s="61">
        <v>1.2473693104136905</v>
      </c>
      <c r="Y6" s="54">
        <v>117922.81226837207</v>
      </c>
      <c r="Z6" s="55">
        <v>818084.25008298759</v>
      </c>
      <c r="AA6" s="59">
        <v>49.1139311595051</v>
      </c>
      <c r="AB6" s="66">
        <v>0.11555925718472881</v>
      </c>
      <c r="AC6" s="56">
        <v>0.1441450709464335</v>
      </c>
      <c r="AD6" s="58">
        <v>0.59675634161601732</v>
      </c>
      <c r="AE6" s="57">
        <v>0.47841191588889009</v>
      </c>
      <c r="AF6" s="57">
        <v>4.9428518046706218</v>
      </c>
      <c r="AG6" s="57">
        <v>3.9626209843428994</v>
      </c>
      <c r="AH6" s="57">
        <v>5.5396081462866391</v>
      </c>
      <c r="AI6" s="57">
        <v>4.4410329002317894</v>
      </c>
      <c r="AJ6" s="60">
        <v>2.5888016293253272E-2</v>
      </c>
      <c r="AK6" s="71">
        <v>114969.53208007441</v>
      </c>
      <c r="AL6" s="71">
        <v>143409.46594930708</v>
      </c>
      <c r="AM6" s="64">
        <v>2.4681882171759695E-2</v>
      </c>
      <c r="AN6" s="65">
        <v>0.58854242991251915</v>
      </c>
      <c r="AO6" s="65">
        <v>1.1404548156586956</v>
      </c>
      <c r="AP6" s="65">
        <v>0.51971574863254255</v>
      </c>
      <c r="AQ6" s="65">
        <v>0.16029812953973718</v>
      </c>
      <c r="AR6" s="63">
        <v>0.17259421944618228</v>
      </c>
      <c r="AS6" s="63">
        <v>0.13277413249015807</v>
      </c>
      <c r="AT6" s="91">
        <v>3.9820086956024209E-2</v>
      </c>
      <c r="AU6" s="94">
        <v>0.15783204436302189</v>
      </c>
      <c r="AV6" s="63">
        <v>0.11851328015327453</v>
      </c>
      <c r="AW6" s="95">
        <v>3.9318764209747364E-2</v>
      </c>
      <c r="AX6" s="105" t="s">
        <v>105</v>
      </c>
    </row>
    <row r="7" spans="1:50" x14ac:dyDescent="0.15">
      <c r="A7" s="13" t="s">
        <v>8</v>
      </c>
      <c r="B7" s="14">
        <v>42463</v>
      </c>
      <c r="C7" s="11">
        <v>42455</v>
      </c>
      <c r="D7" s="20">
        <v>173561</v>
      </c>
      <c r="E7" s="16">
        <v>1.1163000000000001</v>
      </c>
      <c r="F7" s="62">
        <v>1.363949406211681</v>
      </c>
      <c r="G7" s="16">
        <v>193746.14430000001</v>
      </c>
      <c r="H7" s="16">
        <v>264259.93847378768</v>
      </c>
      <c r="I7" s="17">
        <v>369598</v>
      </c>
      <c r="J7" s="51">
        <v>19.076405434304171</v>
      </c>
      <c r="K7" s="52">
        <v>0.52420777249876893</v>
      </c>
      <c r="L7" s="52">
        <v>0.71499288003124384</v>
      </c>
      <c r="M7" s="52">
        <v>6.7270095593968078</v>
      </c>
      <c r="N7" s="18">
        <v>4.9320081293050508</v>
      </c>
      <c r="O7" s="18">
        <v>6.9124845027200026</v>
      </c>
      <c r="P7" s="18">
        <v>5.0679918706949492</v>
      </c>
      <c r="Q7" s="18">
        <v>47.738229217408836</v>
      </c>
      <c r="R7" s="18">
        <v>10</v>
      </c>
      <c r="S7" s="19">
        <v>1.9374614429999999E-2</v>
      </c>
      <c r="T7" s="53" t="s">
        <v>88</v>
      </c>
      <c r="U7" s="53">
        <v>43814</v>
      </c>
      <c r="V7" s="11" t="s">
        <v>88</v>
      </c>
      <c r="W7" s="54">
        <v>0</v>
      </c>
      <c r="X7" s="61">
        <v>1.2639410990995199</v>
      </c>
      <c r="Y7" s="54">
        <v>0</v>
      </c>
      <c r="Z7" s="55">
        <v>0</v>
      </c>
      <c r="AA7" s="59">
        <v>20.494459161694465</v>
      </c>
      <c r="AB7" s="66">
        <v>0.25268566735816783</v>
      </c>
      <c r="AC7" s="56">
        <v>0.31937980012737832</v>
      </c>
      <c r="AD7" s="58">
        <v>0.45289771602379564</v>
      </c>
      <c r="AE7" s="57">
        <v>0.35832185245535358</v>
      </c>
      <c r="AF7" s="57">
        <v>4.7546403189271818</v>
      </c>
      <c r="AG7" s="57">
        <v>3.7617578242487486</v>
      </c>
      <c r="AH7" s="57">
        <v>5.2075380349509777</v>
      </c>
      <c r="AI7" s="57">
        <v>4.1200796767041021</v>
      </c>
      <c r="AJ7" s="60">
        <v>1.8034045059886421E-2</v>
      </c>
      <c r="AK7" s="71">
        <v>74301.702540004058</v>
      </c>
      <c r="AL7" s="71">
        <v>93912.975573378324</v>
      </c>
      <c r="AM7" s="64">
        <v>2.4479715002323803E-2</v>
      </c>
      <c r="AN7" s="65">
        <v>0.38350029007521286</v>
      </c>
      <c r="AO7" s="65">
        <v>0.38349778825192377</v>
      </c>
      <c r="AP7" s="65">
        <v>0.48203342379621283</v>
      </c>
      <c r="AQ7" s="65">
        <v>0.34465046595137538</v>
      </c>
      <c r="AR7" s="63">
        <v>0.35625625252723703</v>
      </c>
      <c r="AS7" s="63">
        <v>0.13893786072731021</v>
      </c>
      <c r="AT7" s="91">
        <v>0.21731839179992682</v>
      </c>
      <c r="AU7" s="94">
        <v>0.32885115742683413</v>
      </c>
      <c r="AV7" s="63">
        <v>0.11592399477958679</v>
      </c>
      <c r="AW7" s="95">
        <v>0.21292716264724734</v>
      </c>
      <c r="AX7" s="105" t="s">
        <v>104</v>
      </c>
    </row>
    <row r="8" spans="1:50" x14ac:dyDescent="0.15">
      <c r="A8" s="13" t="s">
        <v>9</v>
      </c>
      <c r="B8" s="14">
        <v>42081</v>
      </c>
      <c r="C8" s="11">
        <v>42069</v>
      </c>
      <c r="D8" s="15">
        <v>143867</v>
      </c>
      <c r="E8" s="16">
        <v>1</v>
      </c>
      <c r="F8" s="62">
        <v>1.3755775689376968</v>
      </c>
      <c r="G8" s="16">
        <v>143867</v>
      </c>
      <c r="H8" s="16">
        <v>197900.21811035962</v>
      </c>
      <c r="I8" s="17">
        <v>490854</v>
      </c>
      <c r="J8" s="51">
        <v>119.41508476579064</v>
      </c>
      <c r="K8" s="52">
        <v>0.29309529921320798</v>
      </c>
      <c r="L8" s="52">
        <v>0.40317531915877147</v>
      </c>
      <c r="M8" s="52">
        <v>27.32978462056964</v>
      </c>
      <c r="N8" s="18">
        <v>19.867861498843233</v>
      </c>
      <c r="O8" s="18">
        <v>20.815430292249747</v>
      </c>
      <c r="P8" s="18">
        <v>15.132138501156767</v>
      </c>
      <c r="Q8" s="18">
        <v>41.267327068130903</v>
      </c>
      <c r="R8" s="18">
        <v>35</v>
      </c>
      <c r="S8" s="19">
        <v>4.1104857142857136E-3</v>
      </c>
      <c r="T8" s="53">
        <v>43837</v>
      </c>
      <c r="U8" s="53">
        <v>43820</v>
      </c>
      <c r="V8" s="11">
        <v>43820</v>
      </c>
      <c r="W8" s="54">
        <v>311970.09079966851</v>
      </c>
      <c r="X8" s="61">
        <v>1.2639410990995199</v>
      </c>
      <c r="Y8" s="54">
        <v>394311.81945151003</v>
      </c>
      <c r="Z8" s="55">
        <v>2652867.4345814334</v>
      </c>
      <c r="AA8" s="59">
        <v>144.75594683081886</v>
      </c>
      <c r="AB8" s="66">
        <v>0.11759731629744657</v>
      </c>
      <c r="AC8" s="56">
        <v>0.1486360812121485</v>
      </c>
      <c r="AD8" s="58">
        <v>3.7665664318833865</v>
      </c>
      <c r="AE8" s="57">
        <v>2.9800173715110878</v>
      </c>
      <c r="AF8" s="57">
        <v>13.99679393908459</v>
      </c>
      <c r="AG8" s="57">
        <v>11.073928958443112</v>
      </c>
      <c r="AH8" s="57">
        <v>17.763360370967977</v>
      </c>
      <c r="AI8" s="57">
        <v>14.053946329954201</v>
      </c>
      <c r="AJ8" s="60">
        <v>2.1717390569491464E-2</v>
      </c>
      <c r="AK8" s="71">
        <v>305215.04149028653</v>
      </c>
      <c r="AL8" s="71">
        <v>385773.83500293834</v>
      </c>
      <c r="AM8" s="64">
        <v>5.7594756843190931E-2</v>
      </c>
      <c r="AN8" s="65">
        <v>0.66957044007729194</v>
      </c>
      <c r="AO8" s="65">
        <v>2.1214897096085359</v>
      </c>
      <c r="AP8" s="65">
        <v>0.40122552839683068</v>
      </c>
      <c r="AQ8" s="65">
        <v>0.16176423046603897</v>
      </c>
      <c r="AR8" s="63">
        <v>-0.10285485945641992</v>
      </c>
      <c r="AS8" s="63">
        <v>0.1217299401760101</v>
      </c>
      <c r="AT8" s="91">
        <v>-0.22458479963243003</v>
      </c>
      <c r="AU8" s="94">
        <v>-0.11441328264772893</v>
      </c>
      <c r="AV8" s="63">
        <v>0.10727806687355043</v>
      </c>
      <c r="AW8" s="95">
        <v>-0.22169134952127936</v>
      </c>
      <c r="AX8" s="105" t="s">
        <v>103</v>
      </c>
    </row>
    <row r="9" spans="1:50" x14ac:dyDescent="0.15">
      <c r="A9" s="13" t="s">
        <v>10</v>
      </c>
      <c r="B9" s="14">
        <v>42056</v>
      </c>
      <c r="C9" s="11">
        <v>42045</v>
      </c>
      <c r="D9" s="20">
        <v>88307</v>
      </c>
      <c r="E9" s="16">
        <v>1.1318999999999999</v>
      </c>
      <c r="F9" s="62">
        <v>1.3837646236824839</v>
      </c>
      <c r="G9" s="16">
        <v>99954.693299999984</v>
      </c>
      <c r="H9" s="16">
        <v>138313.76855957258</v>
      </c>
      <c r="I9" s="17">
        <v>296812</v>
      </c>
      <c r="J9" s="51">
        <v>89.08396100295974</v>
      </c>
      <c r="K9" s="52">
        <v>0.33676095744107376</v>
      </c>
      <c r="L9" s="52">
        <v>0.46599789954440041</v>
      </c>
      <c r="M9" s="52">
        <v>18.048664311634855</v>
      </c>
      <c r="N9" s="18">
        <v>13.043160666735089</v>
      </c>
      <c r="O9" s="18">
        <v>23.46427439883966</v>
      </c>
      <c r="P9" s="18">
        <v>16.956839333264909</v>
      </c>
      <c r="Q9" s="18">
        <v>48.431761828886934</v>
      </c>
      <c r="R9" s="18">
        <v>30</v>
      </c>
      <c r="S9" s="19">
        <v>3.3318231099999994E-3</v>
      </c>
      <c r="T9" s="53">
        <v>43580</v>
      </c>
      <c r="U9" s="53">
        <v>43560</v>
      </c>
      <c r="V9" s="11">
        <v>43560</v>
      </c>
      <c r="W9" s="54">
        <v>1380235.1517142947</v>
      </c>
      <c r="X9" s="61">
        <v>1.2709940989559692</v>
      </c>
      <c r="Y9" s="54">
        <v>1754270.7330004654</v>
      </c>
      <c r="Z9" s="55">
        <v>690483.28208173777</v>
      </c>
      <c r="AA9" s="59">
        <v>95.214995253558158</v>
      </c>
      <c r="AB9" s="66">
        <v>1.9989407238840371</v>
      </c>
      <c r="AC9" s="56">
        <v>2.5406418642193844</v>
      </c>
      <c r="AD9" s="58">
        <v>15.576762288033251</v>
      </c>
      <c r="AE9" s="57">
        <v>12.255574043049018</v>
      </c>
      <c r="AF9" s="57">
        <v>188.71888343051282</v>
      </c>
      <c r="AG9" s="57">
        <v>148.48132149907846</v>
      </c>
      <c r="AH9" s="57">
        <v>204.29564571854607</v>
      </c>
      <c r="AI9" s="57">
        <v>160.73689554212748</v>
      </c>
      <c r="AJ9" s="60">
        <v>1.0369115489136601E-2</v>
      </c>
      <c r="AK9" s="71">
        <v>1666699.433241606</v>
      </c>
      <c r="AL9" s="71">
        <v>2118365.1443833397</v>
      </c>
      <c r="AM9" s="64">
        <v>0.18702114401398062</v>
      </c>
      <c r="AN9" s="65">
        <v>1.1260038290733647</v>
      </c>
      <c r="AO9" s="65">
        <v>16.674336994415871</v>
      </c>
      <c r="AP9" s="65">
        <v>5.935785249790456</v>
      </c>
      <c r="AQ9" s="65">
        <v>2.7660634585489867</v>
      </c>
      <c r="AR9" s="63">
        <v>-0.31155268475413339</v>
      </c>
      <c r="AS9" s="63">
        <v>0.13565290570259098</v>
      </c>
      <c r="AT9" s="91">
        <v>-0.44720559045672437</v>
      </c>
      <c r="AU9" s="94">
        <v>-0.32373610958456994</v>
      </c>
      <c r="AV9" s="63">
        <v>0.11555530428886415</v>
      </c>
      <c r="AW9" s="95">
        <v>-0.43929141387343407</v>
      </c>
      <c r="AX9" s="105" t="s">
        <v>102</v>
      </c>
    </row>
    <row r="10" spans="1:50" x14ac:dyDescent="0.15">
      <c r="A10" s="13" t="s">
        <v>11</v>
      </c>
      <c r="B10" s="14">
        <v>42383</v>
      </c>
      <c r="C10" s="11">
        <v>42373</v>
      </c>
      <c r="D10" s="21">
        <v>131217</v>
      </c>
      <c r="E10" s="16">
        <v>1.4715</v>
      </c>
      <c r="F10" s="62">
        <v>1.3709500413648721</v>
      </c>
      <c r="G10" s="16">
        <v>193085.8155</v>
      </c>
      <c r="H10" s="16">
        <v>264711.00674669503</v>
      </c>
      <c r="I10" s="17">
        <v>168277</v>
      </c>
      <c r="J10" s="51">
        <v>30.502991557140042</v>
      </c>
      <c r="K10" s="52">
        <v>1.1474284394183401</v>
      </c>
      <c r="L10" s="52">
        <v>1.573067066483804</v>
      </c>
      <c r="M10" s="52">
        <v>14.087386632899747</v>
      </c>
      <c r="N10" s="18">
        <v>10.275638212808117</v>
      </c>
      <c r="O10" s="18">
        <v>33.89586481487077</v>
      </c>
      <c r="P10" s="18">
        <v>24.724361787191881</v>
      </c>
      <c r="Q10" s="18">
        <v>34.273751034121801</v>
      </c>
      <c r="R10" s="18">
        <v>35</v>
      </c>
      <c r="S10" s="19">
        <v>5.516737585714286E-3</v>
      </c>
      <c r="T10" s="53">
        <v>43452</v>
      </c>
      <c r="U10" s="53">
        <v>43445</v>
      </c>
      <c r="V10" s="11">
        <v>43445</v>
      </c>
      <c r="W10" s="54">
        <v>2283183.2615812528</v>
      </c>
      <c r="X10" s="61">
        <v>1.2928237930526643</v>
      </c>
      <c r="Y10" s="54">
        <v>2951753.6444718284</v>
      </c>
      <c r="Z10" s="55">
        <v>421561.27715117531</v>
      </c>
      <c r="AA10" s="59">
        <v>33.295730960671158</v>
      </c>
      <c r="AB10" s="66">
        <v>5.4160175170986697</v>
      </c>
      <c r="AC10" s="56">
        <v>7.0019563096951751</v>
      </c>
      <c r="AD10" s="58">
        <v>19.554639287889049</v>
      </c>
      <c r="AE10" s="57">
        <v>15.125525530216224</v>
      </c>
      <c r="AF10" s="57">
        <v>160.33316074177287</v>
      </c>
      <c r="AG10" s="57">
        <v>124.01779856107704</v>
      </c>
      <c r="AH10" s="57">
        <v>179.88780002966192</v>
      </c>
      <c r="AI10" s="57">
        <v>139.14332409129327</v>
      </c>
      <c r="AJ10" s="60">
        <v>1.7715132244667971E-2</v>
      </c>
      <c r="AK10" s="71">
        <v>2464942.3872399554</v>
      </c>
      <c r="AL10" s="71">
        <v>3186736.1667278484</v>
      </c>
      <c r="AM10" s="64">
        <v>0.3128751877619505</v>
      </c>
      <c r="AN10" s="65">
        <v>0.99542590506575801</v>
      </c>
      <c r="AO10" s="65">
        <v>12.765960444683992</v>
      </c>
      <c r="AP10" s="65">
        <v>4.7201353313538084</v>
      </c>
      <c r="AQ10" s="65">
        <v>7.4250894390992928</v>
      </c>
      <c r="AR10" s="63">
        <v>0.44240322709083557</v>
      </c>
      <c r="AS10" s="63">
        <v>0.12620590329170228</v>
      </c>
      <c r="AT10" s="91">
        <v>0.31619732379913329</v>
      </c>
      <c r="AU10" s="94">
        <v>0.42052904963493354</v>
      </c>
      <c r="AV10" s="63">
        <v>0.1091268837451935</v>
      </c>
      <c r="AW10" s="95">
        <v>0.31140216588974001</v>
      </c>
      <c r="AX10" s="105" t="s">
        <v>102</v>
      </c>
    </row>
    <row r="11" spans="1:50" x14ac:dyDescent="0.15">
      <c r="A11" s="13" t="s">
        <v>12</v>
      </c>
      <c r="B11" s="14">
        <v>41793</v>
      </c>
      <c r="C11" s="11">
        <v>41780</v>
      </c>
      <c r="D11" s="21">
        <v>194185</v>
      </c>
      <c r="E11" s="16">
        <v>1.6899</v>
      </c>
      <c r="F11" s="62">
        <v>1.3652795292139555</v>
      </c>
      <c r="G11" s="16">
        <v>328153.23149999999</v>
      </c>
      <c r="H11" s="16">
        <v>448020.88941235811</v>
      </c>
      <c r="I11" s="17">
        <v>469242</v>
      </c>
      <c r="J11" s="51">
        <v>35.748695651653215</v>
      </c>
      <c r="K11" s="52">
        <v>0.69932621440536014</v>
      </c>
      <c r="L11" s="52">
        <v>0.95477576477032777</v>
      </c>
      <c r="M11" s="52">
        <v>6.1941546926723419</v>
      </c>
      <c r="N11" s="18">
        <v>4.5369131816094521</v>
      </c>
      <c r="O11" s="18">
        <v>27.937833537676543</v>
      </c>
      <c r="P11" s="18">
        <v>20.463086818390547</v>
      </c>
      <c r="Q11" s="18">
        <v>0</v>
      </c>
      <c r="R11" s="18">
        <v>25</v>
      </c>
      <c r="S11" s="19">
        <v>1.3126129259999999E-2</v>
      </c>
      <c r="T11" s="53" t="s">
        <v>88</v>
      </c>
      <c r="U11" s="53">
        <v>42727</v>
      </c>
      <c r="V11" s="11" t="s">
        <v>88</v>
      </c>
      <c r="W11" s="54">
        <v>0</v>
      </c>
      <c r="X11" s="61">
        <v>1.3453063388448923</v>
      </c>
      <c r="Y11" s="54">
        <v>0</v>
      </c>
      <c r="Z11" s="55">
        <v>0</v>
      </c>
      <c r="AA11" s="59">
        <v>39.701722669566202</v>
      </c>
      <c r="AB11" s="66">
        <v>0.27730254240329355</v>
      </c>
      <c r="AC11" s="56">
        <v>0.37305686807295535</v>
      </c>
      <c r="AD11" s="58">
        <v>1.4747038787103943</v>
      </c>
      <c r="AE11" s="57">
        <v>1.0961844422561819</v>
      </c>
      <c r="AF11" s="57">
        <v>12.144523064109865</v>
      </c>
      <c r="AG11" s="57">
        <v>9.027329102260385</v>
      </c>
      <c r="AH11" s="57">
        <v>13.61922694282026</v>
      </c>
      <c r="AI11" s="57">
        <v>10.123513544516566</v>
      </c>
      <c r="AJ11" s="60">
        <v>1.1819184872794014E-2</v>
      </c>
      <c r="AK11" s="71">
        <v>119651.67814487551</v>
      </c>
      <c r="AL11" s="71">
        <v>160968.16106172989</v>
      </c>
      <c r="AM11" s="64">
        <v>4.1461973931068236E-2</v>
      </c>
      <c r="AN11" s="65">
        <v>0.36462136178864812</v>
      </c>
      <c r="AO11" s="65">
        <v>0.36461986698265131</v>
      </c>
      <c r="AP11" s="65">
        <v>0.3965281676722</v>
      </c>
      <c r="AQ11" s="65">
        <v>0.37859548454220154</v>
      </c>
      <c r="AR11" s="63">
        <v>0.13218241333961483</v>
      </c>
      <c r="AS11" s="63">
        <v>0.1414423286914826</v>
      </c>
      <c r="AT11" s="91">
        <v>-9.2599153518677646E-3</v>
      </c>
      <c r="AU11" s="94">
        <v>0.1108944356441498</v>
      </c>
      <c r="AV11" s="63">
        <v>0.11998023390769957</v>
      </c>
      <c r="AW11" s="95">
        <v>-9.0857982635497714E-3</v>
      </c>
      <c r="AX11" s="105" t="s">
        <v>106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1465-3F62-804A-A591-067A36E3057C}">
  <dimension ref="A1:C10"/>
  <sheetViews>
    <sheetView workbookViewId="0">
      <selection activeCell="B2" sqref="B2"/>
    </sheetView>
  </sheetViews>
  <sheetFormatPr baseColWidth="10" defaultRowHeight="13" x14ac:dyDescent="0.15"/>
  <cols>
    <col min="1" max="1" width="13.1640625" bestFit="1" customWidth="1"/>
    <col min="2" max="2" width="33.1640625" bestFit="1" customWidth="1"/>
    <col min="3" max="3" width="36.6640625" bestFit="1" customWidth="1"/>
    <col min="4" max="5" width="18.83203125" bestFit="1" customWidth="1"/>
  </cols>
  <sheetData>
    <row r="1" spans="1:3" x14ac:dyDescent="0.15">
      <c r="A1" s="100" t="s">
        <v>89</v>
      </c>
      <c r="B1" s="100" t="s">
        <v>98</v>
      </c>
      <c r="C1" s="100" t="s">
        <v>99</v>
      </c>
    </row>
    <row r="2" spans="1:3" x14ac:dyDescent="0.15">
      <c r="A2" s="100" t="s">
        <v>90</v>
      </c>
      <c r="B2">
        <f>COUNTIFS('Final Table'!$Q$2:$Q$11,"&gt;=0",'Final Table'!$Q$2:$Q$11,"&lt;=5")</f>
        <v>1</v>
      </c>
      <c r="C2">
        <f>COUNTIFS('Final Table'!$AH$2:$AH$11,"&gt;=0",'Final Table'!$AH$2:$AH$11,"&lt;=5")</f>
        <v>1</v>
      </c>
    </row>
    <row r="3" spans="1:3" x14ac:dyDescent="0.15">
      <c r="A3" s="100" t="s">
        <v>91</v>
      </c>
      <c r="B3">
        <f>COUNTIFS('Final Table'!$Q$2:$Q$11,"&gt;5",'Final Table'!$Q$2:$Q$11,"&lt;=15")</f>
        <v>3</v>
      </c>
      <c r="C3">
        <f>COUNTIFS('Final Table'!$AH$2:$AH$11,"&gt;5",'Final Table'!$AH$2:$AH$11,"&lt;=15")</f>
        <v>3</v>
      </c>
    </row>
    <row r="4" spans="1:3" x14ac:dyDescent="0.15">
      <c r="A4" s="100" t="s">
        <v>92</v>
      </c>
      <c r="B4">
        <f>COUNTIFS('Final Table'!$Q$2:$Q$11,"&gt;15",'Final Table'!$Q$2:$Q$11,"&lt;=30")</f>
        <v>1</v>
      </c>
      <c r="C4">
        <f>COUNTIFS('Final Table'!$AH$2:$AH$11,"&gt;15",'Final Table'!$AH$2:$AH$11,"&lt;=30")</f>
        <v>1</v>
      </c>
    </row>
    <row r="5" spans="1:3" x14ac:dyDescent="0.15">
      <c r="A5" s="100" t="s">
        <v>93</v>
      </c>
      <c r="B5">
        <f>COUNTIFS('Final Table'!$Q$2:$Q$11,"&gt;30",'Final Table'!$Q$2:$Q$11,"&lt;=50")</f>
        <v>5</v>
      </c>
      <c r="C5">
        <f>COUNTIFS('Final Table'!$AH$2:$AH$11,"&gt;30",'Final Table'!$AH$2:$AH$11,"&lt;=50")</f>
        <v>0</v>
      </c>
    </row>
    <row r="6" spans="1:3" x14ac:dyDescent="0.15">
      <c r="A6" s="100" t="s">
        <v>94</v>
      </c>
      <c r="B6">
        <f>COUNTIFS('Final Table'!$Q$2:$Q$11,"&gt;50",'Final Table'!$Q$2:$Q$11,"&lt;=100")</f>
        <v>0</v>
      </c>
      <c r="C6">
        <f>COUNTIFS('Final Table'!$AH$2:$AH$11,"&gt;50",'Final Table'!$AH$2:$AH$11,"&lt;=100")</f>
        <v>1</v>
      </c>
    </row>
    <row r="7" spans="1:3" x14ac:dyDescent="0.15">
      <c r="A7" s="100" t="s">
        <v>95</v>
      </c>
      <c r="B7">
        <f>COUNTIFS('Final Table'!$Q$2:$Q$11,"&gt;100",'Final Table'!$Q$2:$Q$11,"&lt;=250")</f>
        <v>0</v>
      </c>
      <c r="C7">
        <f>COUNTIFS('Final Table'!$AH$2:$AH$11,"&gt;100",'Final Table'!$AH$2:$AH$11,"&lt;=250")</f>
        <v>3</v>
      </c>
    </row>
    <row r="8" spans="1:3" x14ac:dyDescent="0.15">
      <c r="A8" s="100" t="s">
        <v>96</v>
      </c>
      <c r="B8">
        <f>COUNTIFS('Final Table'!$Q$2:$Q$11,"&gt;250",'Final Table'!$Q$2:$Q$11,"&lt;=500")</f>
        <v>0</v>
      </c>
      <c r="C8">
        <f>COUNTIFS('Final Table'!$AH$2:$AH$11,"&gt;250",'Final Table'!$AH$2:$AH$11,"&lt;=500")</f>
        <v>1</v>
      </c>
    </row>
    <row r="9" spans="1:3" x14ac:dyDescent="0.15">
      <c r="A9" s="100" t="s">
        <v>97</v>
      </c>
      <c r="B9">
        <f>COUNTIFS('Final Table'!$Q$2:$Q$11,"&gt;500",'Final Table'!$Q$2:$Q$11,"&lt;=1000")</f>
        <v>0</v>
      </c>
      <c r="C9">
        <f>COUNTIFS('Final Table'!$AH$2:$AH$11,"&gt;500",'Final Table'!$AH$2:$AH$11,"&lt;=1000")</f>
        <v>0</v>
      </c>
    </row>
    <row r="10" spans="1:3" x14ac:dyDescent="0.15">
      <c r="A10" s="100" t="s">
        <v>87</v>
      </c>
      <c r="B10">
        <f>COUNTIFS('Final Table'!$Q$2:$Q$11,"&gt;1000")</f>
        <v>0</v>
      </c>
      <c r="C10">
        <f>COUNTIFS('Final Table'!$AH$2:$AH$11,"&gt;1000")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1461F-8283-BC4C-ABE7-0D2AE7A3E622}">
  <dimension ref="A1:P2"/>
  <sheetViews>
    <sheetView topLeftCell="F1" workbookViewId="0">
      <selection activeCell="M20" sqref="M20"/>
    </sheetView>
  </sheetViews>
  <sheetFormatPr baseColWidth="10" defaultRowHeight="13" x14ac:dyDescent="0.15"/>
  <cols>
    <col min="1" max="1" width="28.1640625" bestFit="1" customWidth="1"/>
    <col min="2" max="2" width="35.5" bestFit="1" customWidth="1"/>
    <col min="3" max="3" width="16.83203125" bestFit="1" customWidth="1"/>
    <col min="4" max="4" width="27" bestFit="1" customWidth="1"/>
    <col min="5" max="5" width="29.1640625" bestFit="1" customWidth="1"/>
    <col min="6" max="6" width="39.33203125" bestFit="1" customWidth="1"/>
    <col min="7" max="7" width="24.83203125" bestFit="1" customWidth="1"/>
    <col min="8" max="8" width="34.83203125" bestFit="1" customWidth="1"/>
    <col min="9" max="9" width="15.1640625" bestFit="1" customWidth="1"/>
    <col min="10" max="10" width="27.6640625" bestFit="1" customWidth="1"/>
    <col min="11" max="11" width="7.1640625" bestFit="1" customWidth="1"/>
    <col min="12" max="12" width="24.6640625" bestFit="1" customWidth="1"/>
    <col min="13" max="13" width="37.83203125" bestFit="1" customWidth="1"/>
    <col min="14" max="14" width="17.1640625" bestFit="1" customWidth="1"/>
    <col min="15" max="15" width="18.33203125" bestFit="1" customWidth="1"/>
    <col min="16" max="16" width="19.6640625" bestFit="1" customWidth="1"/>
  </cols>
  <sheetData>
    <row r="1" spans="1:16" ht="18" x14ac:dyDescent="0.2">
      <c r="A1" s="82" t="s">
        <v>83</v>
      </c>
      <c r="B1" s="82" t="s">
        <v>84</v>
      </c>
      <c r="C1" s="82" t="s">
        <v>81</v>
      </c>
      <c r="D1" s="82" t="s">
        <v>82</v>
      </c>
      <c r="E1" s="82" t="s">
        <v>59</v>
      </c>
      <c r="F1" s="82" t="s">
        <v>75</v>
      </c>
      <c r="G1" s="82" t="s">
        <v>76</v>
      </c>
      <c r="H1" s="82" t="s">
        <v>77</v>
      </c>
      <c r="I1" s="80" t="s">
        <v>66</v>
      </c>
      <c r="J1" s="80" t="s">
        <v>72</v>
      </c>
      <c r="K1" s="80" t="s">
        <v>65</v>
      </c>
      <c r="L1" s="80" t="s">
        <v>69</v>
      </c>
      <c r="M1" s="80" t="s">
        <v>70</v>
      </c>
      <c r="N1" s="80" t="s">
        <v>71</v>
      </c>
      <c r="O1" s="113" t="s">
        <v>107</v>
      </c>
      <c r="P1" s="113" t="s">
        <v>108</v>
      </c>
    </row>
    <row r="2" spans="1:16" ht="18" x14ac:dyDescent="0.2">
      <c r="A2" s="97" cm="1">
        <f t="array" ref="A2">1 / SUMPRODUCT(('Final Table'!G2:G11/ SUM('Final Table'!G2:G11))^2)</f>
        <v>8.5247660815967965</v>
      </c>
      <c r="B2" s="93" cm="1">
        <f t="array" ref="B2">1 / SUMPRODUCT(('Final Table'!AK2:AK11/ SUM('Final Table'!AK2:AK11))^2)</f>
        <v>5.0425905675309641</v>
      </c>
      <c r="C2" s="83">
        <f>SUM('Final Table'!AK2:AK11)/SUM('Final Table'!G2:G11,'Final Table'!W2:W11)</f>
        <v>1.1734061692903308</v>
      </c>
      <c r="D2" s="83">
        <f>SUM('Final Table'!AL2:AL11)/SUM('Final Table'!H2:H11,'Final Table'!Y2:Y11)</f>
        <v>1.1511443587034842</v>
      </c>
      <c r="E2" s="83">
        <f>SUM('Final Table'!AI2:AI11)/SUM('Final Table'!R2:R11)</f>
        <v>3.7276336253481737</v>
      </c>
      <c r="F2" s="83">
        <f>SUM('Final Table'!AH2:AH11)/SUM('Final Table'!Q2:Q11)</f>
        <v>4.1378649134555818</v>
      </c>
      <c r="G2" s="83">
        <f>SUMPRODUCT('Final Table'!I2:I11,'Final Table'!AB2:AB11)/SUM('Final Table'!G2:G11)</f>
        <v>2.9829060605993369</v>
      </c>
      <c r="H2" s="83">
        <f>SUMPRODUCT('Final Table'!I2:I11,'Final Table'!AC2:AC11)/SUM('Final Table'!H2:H11)</f>
        <v>2.7543026169085785</v>
      </c>
      <c r="I2" s="81">
        <f>XIRR(Table22[Cashflow],Table22[Date])</f>
        <v>0.13300828337669371</v>
      </c>
      <c r="J2" s="92">
        <f>XIRR(Table22[Benchmark Cashflow],Table22[Date])</f>
        <v>0.12335957884788515</v>
      </c>
      <c r="K2" s="92">
        <f>I2-J2</f>
        <v>9.6487045288085604E-3</v>
      </c>
      <c r="L2" s="84">
        <f>XIRR(Table22[Adjusted Cashflow],Table22[Date])</f>
        <v>0.11411167979240419</v>
      </c>
      <c r="M2" s="84">
        <f>XIRR(Table22[Adjusted Benchmark Cashflow],Table22[Date])</f>
        <v>0.10473335385322574</v>
      </c>
      <c r="N2" s="96">
        <f>L2-M2</f>
        <v>9.3783259391784501E-3</v>
      </c>
      <c r="O2" s="114">
        <f>SUM('Final Table'!AL:AL)-SUM('Final Table'!Y:Y,'Final Table'!H:H)</f>
        <v>1548835.4910564739</v>
      </c>
      <c r="P2" s="114">
        <f>SUM('Final Table'!H2:H11,'Final Table'!Y2:Y11)</f>
        <v>10247391.992280606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C655-D896-514F-B5DB-B2C172C8752A}">
  <dimension ref="A1:C10"/>
  <sheetViews>
    <sheetView workbookViewId="0">
      <selection activeCell="C3" sqref="C3"/>
    </sheetView>
  </sheetViews>
  <sheetFormatPr baseColWidth="10" defaultRowHeight="13" x14ac:dyDescent="0.15"/>
  <cols>
    <col min="1" max="1" width="12.6640625" customWidth="1"/>
    <col min="2" max="2" width="13" style="104" customWidth="1"/>
    <col min="3" max="3" width="14.1640625" bestFit="1" customWidth="1"/>
  </cols>
  <sheetData>
    <row r="1" spans="1:3" x14ac:dyDescent="0.15">
      <c r="A1" s="100" t="s">
        <v>86</v>
      </c>
      <c r="B1" s="103" t="s">
        <v>55</v>
      </c>
      <c r="C1" s="100" t="s">
        <v>64</v>
      </c>
    </row>
    <row r="2" spans="1:3" x14ac:dyDescent="0.15">
      <c r="A2" s="101" cm="1">
        <f t="array" ref="A2:A9">_xlfn._xlws.SORT(_xlfn.UNIQUE(YEAR(Table22[Date])))</f>
        <v>2013</v>
      </c>
      <c r="B2" s="102" cm="1">
        <f t="array" ref="B2:B9">_xlfn.BYROW(_xlfn.ANCHORARRAY(A2), _xlfn.LAMBDA(_xlpm.y,
    IFERROR(
        XIRR(
            _xlfn._xlws.FILTER(Table22[Adjusted Cashflow], Table22[Date] &lt;= DATE(_xlpm.y,12,31)),
            _xlfn._xlws.FILTER(Table22[Date], Table22[Date] &lt;= DATE(_xlpm.y,12,31))
        ),
        0
    )
))</f>
        <v>0</v>
      </c>
      <c r="C2" s="104" cm="1">
        <f t="array" ref="C2:C9">_xlfn.BYROW(_xlfn.ANCHORARRAY(A2), _xlfn.LAMBDA(_xlpm.y,
    IFERROR(
        XIRR(
            _xlfn._xlws.FILTER(Table22[Adjusted Benchmark Cashflow], Table22[Date] &lt;= DATE(_xlpm.y,12,31)),
            _xlfn._xlws.FILTER(Table22[Date], Table22[Date] &lt;= DATE(_xlpm.y,12,31))
        ),
        0
    )
))</f>
        <v>0</v>
      </c>
    </row>
    <row r="3" spans="1:3" x14ac:dyDescent="0.15">
      <c r="A3">
        <v>2014</v>
      </c>
      <c r="B3" s="102">
        <v>0</v>
      </c>
      <c r="C3" s="104">
        <v>0</v>
      </c>
    </row>
    <row r="4" spans="1:3" x14ac:dyDescent="0.15">
      <c r="A4">
        <v>2015</v>
      </c>
      <c r="B4" s="102">
        <v>0</v>
      </c>
      <c r="C4" s="104">
        <v>0</v>
      </c>
    </row>
    <row r="5" spans="1:3" x14ac:dyDescent="0.15">
      <c r="A5">
        <v>2016</v>
      </c>
      <c r="B5" s="102">
        <v>2.9802322387695314E-9</v>
      </c>
      <c r="C5" s="104">
        <v>2.9802322387695314E-9</v>
      </c>
    </row>
    <row r="6" spans="1:3" x14ac:dyDescent="0.15">
      <c r="A6">
        <v>2018</v>
      </c>
      <c r="B6" s="102">
        <v>2.9802322387695314E-9</v>
      </c>
      <c r="C6" s="104">
        <v>2.9802322387695314E-9</v>
      </c>
    </row>
    <row r="7" spans="1:3" x14ac:dyDescent="0.15">
      <c r="A7">
        <v>2019</v>
      </c>
      <c r="B7" s="102">
        <v>2.9802322387695314E-9</v>
      </c>
      <c r="C7" s="104">
        <v>2.9802322387695314E-9</v>
      </c>
    </row>
    <row r="8" spans="1:3" x14ac:dyDescent="0.15">
      <c r="A8">
        <v>2020</v>
      </c>
      <c r="B8" s="102">
        <v>0.11212096810340882</v>
      </c>
      <c r="C8" s="104">
        <v>7.9416915774345412E-2</v>
      </c>
    </row>
    <row r="9" spans="1:3" x14ac:dyDescent="0.15">
      <c r="A9">
        <v>2021</v>
      </c>
      <c r="B9" s="102">
        <v>0.11411167979240419</v>
      </c>
      <c r="C9" s="104">
        <v>0.10473335385322574</v>
      </c>
    </row>
    <row r="10" spans="1:3" x14ac:dyDescent="0.15">
      <c r="B10" s="10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1207-BCD4-FE44-AEFA-329DA6952332}">
  <dimension ref="A1:AK90"/>
  <sheetViews>
    <sheetView workbookViewId="0">
      <selection activeCell="D2" sqref="D2"/>
    </sheetView>
  </sheetViews>
  <sheetFormatPr baseColWidth="10" defaultRowHeight="13" x14ac:dyDescent="0.15"/>
  <cols>
    <col min="1" max="1" width="11.1640625" style="22" customWidth="1"/>
    <col min="2" max="2" width="10.83203125" style="22"/>
    <col min="3" max="3" width="17.83203125" style="22" bestFit="1" customWidth="1"/>
    <col min="4" max="4" width="17.83203125" bestFit="1" customWidth="1"/>
    <col min="5" max="5" width="14.1640625" bestFit="1" customWidth="1"/>
    <col min="6" max="6" width="15.5" bestFit="1" customWidth="1"/>
    <col min="23" max="23" width="12.6640625" bestFit="1" customWidth="1"/>
  </cols>
  <sheetData>
    <row r="1" spans="1:37" ht="42" x14ac:dyDescent="0.15">
      <c r="A1" s="72" t="s">
        <v>58</v>
      </c>
      <c r="B1" s="73" t="s">
        <v>36</v>
      </c>
      <c r="C1" s="74" t="s">
        <v>42</v>
      </c>
      <c r="D1" s="86" t="s">
        <v>63</v>
      </c>
      <c r="E1" s="86" t="s">
        <v>67</v>
      </c>
      <c r="F1" s="86" t="s">
        <v>68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1:37" x14ac:dyDescent="0.15">
      <c r="A2" s="75" t="s">
        <v>43</v>
      </c>
      <c r="B2" s="27">
        <f>'Final Table'!$C$2</f>
        <v>41777</v>
      </c>
      <c r="C2" s="87">
        <f>-'Final Table'!$G$2</f>
        <v>-86789</v>
      </c>
      <c r="D2" s="87">
        <f>-'Final Table'!$G$2</f>
        <v>-86789</v>
      </c>
      <c r="E2" s="98">
        <f>VLOOKUP(Table22[[#This Row],[Date]],Table15[],3,TRUE)*Table22[[#This Row],[Cashflow]]</f>
        <v>-118491.24506094998</v>
      </c>
      <c r="F2" s="99">
        <f>VLOOKUP(Table22[[#This Row],[Date]],Table15[],3,TRUE)*Table22[[#This Row],[Benchmark Cashflow]]</f>
        <v>-118491.24506094998</v>
      </c>
      <c r="G2" s="31"/>
      <c r="H2" s="32"/>
      <c r="I2" s="33"/>
      <c r="J2" s="32"/>
      <c r="K2" s="32"/>
      <c r="L2" s="33"/>
      <c r="M2" s="33"/>
      <c r="N2" s="33"/>
      <c r="O2" s="33"/>
      <c r="P2" s="33"/>
      <c r="Q2" s="33"/>
      <c r="R2" s="34"/>
      <c r="S2" s="29"/>
      <c r="T2" s="35"/>
      <c r="U2" s="30"/>
      <c r="V2" s="3"/>
      <c r="W2" s="3"/>
      <c r="X2" s="31"/>
      <c r="Y2" s="33"/>
      <c r="Z2" s="32"/>
      <c r="AA2" s="33"/>
      <c r="AB2" s="36"/>
      <c r="AC2" s="33"/>
      <c r="AD2" s="33"/>
      <c r="AE2" s="33"/>
      <c r="AF2" s="33"/>
      <c r="AG2" s="33"/>
      <c r="AH2" s="37"/>
    </row>
    <row r="3" spans="1:37" x14ac:dyDescent="0.15">
      <c r="A3" s="75" t="s">
        <v>43</v>
      </c>
      <c r="B3" s="27">
        <f>'Final Table'!$V$2</f>
        <v>43944</v>
      </c>
      <c r="C3" s="87">
        <f>-'Final Table'!$W$2</f>
        <v>-2157352.8183745458</v>
      </c>
      <c r="D3" s="87">
        <f>-'Final Table'!$W$2</f>
        <v>-2157352.8183745458</v>
      </c>
      <c r="E3" s="88">
        <f>VLOOKUP(Table22[[#This Row],[Date]],Table15[],3,TRUE)*Table22[[#This Row],[Cashflow]]</f>
        <v>-2732988.5268402793</v>
      </c>
      <c r="F3" s="99">
        <f>VLOOKUP(Table22[[#This Row],[Date]],Table15[],3,TRUE)*Table22[[#This Row],[Benchmark Cashflow]]</f>
        <v>-2732988.5268402793</v>
      </c>
    </row>
    <row r="4" spans="1:37" x14ac:dyDescent="0.15">
      <c r="A4" s="75" t="s">
        <v>43</v>
      </c>
      <c r="B4" s="23">
        <f>'Final Table'!$V$2</f>
        <v>43944</v>
      </c>
      <c r="C4" s="88">
        <f>'Final Table'!$AK$2</f>
        <v>2063078.9682766404</v>
      </c>
      <c r="D4" s="88">
        <f>(VLOOKUP(B4,'SP500'!A2:B3328,2,TRUE)*(-D2)/VLOOKUP(B2,'SP500'!A2:B3328,2,TRUE))+(VLOOKUP(B4,'SP500'!A2:B3328,2,TRUE)*(-D3)/VLOOKUP(B3,'SP500'!A2:B3328,2,TRUE))</f>
        <v>2303313.9405319383</v>
      </c>
      <c r="E4" s="88">
        <f>VLOOKUP(Table22[[#This Row],[Date]],Table15[],3,TRUE)*Table22[[#This Row],[Cashflow]]</f>
        <v>2613560.0548239308</v>
      </c>
      <c r="F4" s="99">
        <f>VLOOKUP(Table22[[#This Row],[Date]],Table15[],3,TRUE)*Table22[[#This Row],[Benchmark Cashflow]]</f>
        <v>2917895.7283064933</v>
      </c>
    </row>
    <row r="5" spans="1:37" x14ac:dyDescent="0.15">
      <c r="A5" s="75" t="s">
        <v>44</v>
      </c>
      <c r="B5" s="76">
        <f>'Final Table'!$C$3</f>
        <v>41914</v>
      </c>
      <c r="C5" s="89">
        <f>-'Final Table'!$G$3</f>
        <v>-125403</v>
      </c>
      <c r="D5" s="89">
        <f>-'Final Table'!$G$3</f>
        <v>-125403</v>
      </c>
      <c r="E5" s="88">
        <f>VLOOKUP(Table22[[#This Row],[Date]],Table15[],3,TRUE)*Table22[[#This Row],[Cashflow]]</f>
        <v>-171546.89701936967</v>
      </c>
      <c r="F5" s="99">
        <f>VLOOKUP(Table22[[#This Row],[Date]],Table15[],3,TRUE)*Table22[[#This Row],[Benchmark Cashflow]]</f>
        <v>-171546.89701936967</v>
      </c>
    </row>
    <row r="6" spans="1:37" x14ac:dyDescent="0.15">
      <c r="A6" s="75" t="s">
        <v>44</v>
      </c>
      <c r="B6" s="77">
        <f>'Final Table'!$V$3</f>
        <v>44466</v>
      </c>
      <c r="C6" s="90">
        <f>-'Final Table'!$W$3</f>
        <v>-81537.494781678673</v>
      </c>
      <c r="D6" s="90">
        <f>-'Final Table'!$W$3</f>
        <v>-81537.494781678673</v>
      </c>
      <c r="E6" s="88">
        <f>VLOOKUP(Table22[[#This Row],[Date]],Table15[],3,TRUE)*Table22[[#This Row],[Cashflow]]</f>
        <v>-96545.435110237435</v>
      </c>
      <c r="F6" s="99">
        <f>VLOOKUP(Table22[[#This Row],[Date]],Table15[],3,TRUE)*Table22[[#This Row],[Benchmark Cashflow]]</f>
        <v>-96545.435110237435</v>
      </c>
    </row>
    <row r="7" spans="1:37" x14ac:dyDescent="0.15">
      <c r="A7" s="75" t="s">
        <v>44</v>
      </c>
      <c r="B7" s="76">
        <f>'Final Table'!$V$3</f>
        <v>44466</v>
      </c>
      <c r="C7" s="89">
        <f>'Final Table'!$AK$3</f>
        <v>114563.20167354932</v>
      </c>
      <c r="D7" s="88">
        <f>(VLOOKUP(B7,'SP500'!A2:B3328,2,TRUE)*(-D5)/VLOOKUP(B5,'SP500'!A2:B3328,2,TRUE))+(VLOOKUP(B7,'SP500'!A2:B3328,2,TRUE)*(-D6)/VLOOKUP(B6,'SP500'!A2:B3328,2,TRUE))</f>
        <v>409640.03211561375</v>
      </c>
      <c r="E7" s="88">
        <f>VLOOKUP(Table22[[#This Row],[Date]],Table15[],3,TRUE)*Table22[[#This Row],[Cashflow]]</f>
        <v>135649.91397896109</v>
      </c>
      <c r="F7" s="99">
        <f>VLOOKUP(Table22[[#This Row],[Date]],Table15[],3,TRUE)*Table22[[#This Row],[Benchmark Cashflow]]</f>
        <v>485039.12519102963</v>
      </c>
    </row>
    <row r="8" spans="1:37" x14ac:dyDescent="0.15">
      <c r="A8" s="75" t="s">
        <v>45</v>
      </c>
      <c r="B8" s="76">
        <f>'Final Table'!$C$4</f>
        <v>42374</v>
      </c>
      <c r="C8" s="89">
        <f>-'Final Table'!$G$4</f>
        <v>-173720.9106</v>
      </c>
      <c r="D8" s="89">
        <f>-'Final Table'!$G$4</f>
        <v>-173720.9106</v>
      </c>
      <c r="E8" s="88">
        <f>VLOOKUP(Table22[[#This Row],[Date]],Table15[],3,TRUE)*Table22[[#This Row],[Cashflow]]</f>
        <v>-238162.68957301325</v>
      </c>
      <c r="F8" s="99">
        <f>VLOOKUP(Table22[[#This Row],[Date]],Table15[],3,TRUE)*Table22[[#This Row],[Benchmark Cashflow]]</f>
        <v>-238162.68957301325</v>
      </c>
    </row>
    <row r="9" spans="1:37" x14ac:dyDescent="0.15">
      <c r="A9" s="75" t="s">
        <v>45</v>
      </c>
      <c r="B9" s="77">
        <f>'Final Table'!$U$4</f>
        <v>44051</v>
      </c>
      <c r="C9" s="90">
        <f>'Final Table'!$AK$4</f>
        <v>1910228.7052257592</v>
      </c>
      <c r="D9" s="88">
        <f>(VLOOKUP(B9,'SP500'!A2:B3328,2,TRUE)*(-D8)/VLOOKUP(B8,'SP500'!A2:B3328,2,TRUE))</f>
        <v>316742.8683220754</v>
      </c>
      <c r="E9" s="88">
        <f>VLOOKUP(Table22[[#This Row],[Date]],Table15[],3,TRUE)*Table22[[#This Row],[Cashflow]]</f>
        <v>2387069.3197751851</v>
      </c>
      <c r="F9" s="99">
        <f>VLOOKUP(Table22[[#This Row],[Date]],Table15[],3,TRUE)*Table22[[#This Row],[Benchmark Cashflow]]</f>
        <v>395809.76935421978</v>
      </c>
    </row>
    <row r="10" spans="1:37" x14ac:dyDescent="0.15">
      <c r="A10" s="75" t="s">
        <v>46</v>
      </c>
      <c r="B10" s="76">
        <f>'Final Table'!$C$5</f>
        <v>42227</v>
      </c>
      <c r="C10" s="89">
        <f>-'Final Table'!$G$5</f>
        <v>-160214</v>
      </c>
      <c r="D10" s="89">
        <f>-'Final Table'!$G$5</f>
        <v>-160214</v>
      </c>
      <c r="E10" s="88">
        <f>VLOOKUP(Table22[[#This Row],[Date]],Table15[],3,TRUE)*Table22[[#This Row],[Cashflow]]</f>
        <v>-218355.07141778141</v>
      </c>
      <c r="F10" s="99">
        <f>VLOOKUP(Table22[[#This Row],[Date]],Table15[],3,TRUE)*Table22[[#This Row],[Benchmark Cashflow]]</f>
        <v>-218355.07141778141</v>
      </c>
    </row>
    <row r="11" spans="1:37" x14ac:dyDescent="0.15">
      <c r="A11" s="75" t="s">
        <v>46</v>
      </c>
      <c r="B11" s="77">
        <f>'Final Table'!$U$5</f>
        <v>43860</v>
      </c>
      <c r="C11" s="90">
        <f>'Final Table'!$AK$5</f>
        <v>453341.49751435569</v>
      </c>
      <c r="D11" s="88">
        <f>(VLOOKUP(B11,'SP500'!A2:B3328,2,TRUE)*(-D10)/VLOOKUP(B10,'SP500'!A2:B3328,2,TRUE))</f>
        <v>276583.69510278787</v>
      </c>
      <c r="E11" s="88">
        <f>VLOOKUP(Table22[[#This Row],[Date]],Table15[],3,TRUE)*Table22[[#This Row],[Cashflow]]</f>
        <v>570782.44606045925</v>
      </c>
      <c r="F11" s="99">
        <f>VLOOKUP(Table22[[#This Row],[Date]],Table15[],3,TRUE)*Table22[[#This Row],[Benchmark Cashflow]]</f>
        <v>348234.43010797916</v>
      </c>
    </row>
    <row r="12" spans="1:37" x14ac:dyDescent="0.15">
      <c r="A12" s="75" t="s">
        <v>47</v>
      </c>
      <c r="B12" s="76">
        <f>'Final Table'!$C$6</f>
        <v>41527</v>
      </c>
      <c r="C12" s="89">
        <f>-'Final Table'!$G$6</f>
        <v>-100809</v>
      </c>
      <c r="D12" s="89">
        <f>-'Final Table'!$G$6</f>
        <v>-100809</v>
      </c>
      <c r="E12" s="88">
        <f>VLOOKUP(Table22[[#This Row],[Date]],Table15[],3,TRUE)*Table22[[#This Row],[Cashflow]]</f>
        <v>-139837.29676402634</v>
      </c>
      <c r="F12" s="99">
        <f>VLOOKUP(Table22[[#This Row],[Date]],Table15[],3,TRUE)*Table22[[#This Row],[Benchmark Cashflow]]</f>
        <v>-139837.29676402634</v>
      </c>
    </row>
    <row r="13" spans="1:37" x14ac:dyDescent="0.15">
      <c r="A13" s="75" t="s">
        <v>47</v>
      </c>
      <c r="B13" s="77">
        <f>'Final Table'!$V$6</f>
        <v>44134</v>
      </c>
      <c r="C13" s="90">
        <f>-'Final Table'!$W$6</f>
        <v>-94537.208254115962</v>
      </c>
      <c r="D13" s="90">
        <f>-'Final Table'!$W$6</f>
        <v>-94537.208254115962</v>
      </c>
      <c r="E13" s="88">
        <f>VLOOKUP(Table22[[#This Row],[Date]],Table15[],3,TRUE)*Table22[[#This Row],[Cashflow]]</f>
        <v>-117922.81226837207</v>
      </c>
      <c r="F13" s="99">
        <f>VLOOKUP(Table22[[#This Row],[Date]],Table15[],3,TRUE)*Table22[[#This Row],[Benchmark Cashflow]]</f>
        <v>-117922.81226837207</v>
      </c>
    </row>
    <row r="14" spans="1:37" x14ac:dyDescent="0.15">
      <c r="A14" s="75" t="s">
        <v>47</v>
      </c>
      <c r="B14" s="76">
        <f>'Final Table'!$V$6</f>
        <v>44134</v>
      </c>
      <c r="C14" s="89">
        <f>'Final Table'!$AK$6</f>
        <v>114969.53208007441</v>
      </c>
      <c r="D14" s="88">
        <f>(VLOOKUP(B14,'SP500'!A12:B3338,2,TRUE)*(-D12)/VLOOKUP(B12,'SP500'!A12:B3338,2,TRUE))+(VLOOKUP(B14,'SP500'!A12:B3338,2,TRUE)*(-D13)/VLOOKUP(B13,'SP500'!A12:B3338,2,TRUE))</f>
        <v>320745.48902016872</v>
      </c>
      <c r="E14" s="88">
        <f>VLOOKUP(Table22[[#This Row],[Date]],Table15[],3,TRUE)*Table22[[#This Row],[Cashflow]]</f>
        <v>143409.46594930708</v>
      </c>
      <c r="F14" s="99">
        <f>VLOOKUP(Table22[[#This Row],[Date]],Table15[],3,TRUE)*Table22[[#This Row],[Benchmark Cashflow]]</f>
        <v>400088.07945738977</v>
      </c>
    </row>
    <row r="15" spans="1:37" x14ac:dyDescent="0.15">
      <c r="A15" s="75" t="s">
        <v>48</v>
      </c>
      <c r="B15" s="76">
        <f>'Final Table'!$C$7</f>
        <v>42455</v>
      </c>
      <c r="C15" s="89">
        <f>-'Final Table'!$G$7</f>
        <v>-193746.14430000001</v>
      </c>
      <c r="D15" s="89">
        <f>-'Final Table'!$G$7</f>
        <v>-193746.14430000001</v>
      </c>
      <c r="E15" s="88">
        <f>VLOOKUP(Table22[[#This Row],[Date]],Table15[],3,TRUE)*Table22[[#This Row],[Cashflow]]</f>
        <v>-264259.93847378768</v>
      </c>
      <c r="F15" s="99">
        <f>VLOOKUP(Table22[[#This Row],[Date]],Table15[],3,TRUE)*Table22[[#This Row],[Benchmark Cashflow]]</f>
        <v>-264259.93847378768</v>
      </c>
    </row>
    <row r="16" spans="1:37" x14ac:dyDescent="0.15">
      <c r="A16" s="75" t="s">
        <v>48</v>
      </c>
      <c r="B16" s="77">
        <f>'Final Table'!$U$7</f>
        <v>43814</v>
      </c>
      <c r="C16" s="90">
        <f>'Final Table'!$AK$7</f>
        <v>74301.702540004058</v>
      </c>
      <c r="D16" s="88">
        <f>(VLOOKUP(B16,'SP500'!A7:B3333,2,TRUE)*(-D15)/VLOOKUP(B15,'SP500'!A7:B3333,2,TRUE))</f>
        <v>325206.72584569658</v>
      </c>
      <c r="E16" s="88">
        <f>VLOOKUP(Table22[[#This Row],[Date]],Table15[],3,TRUE)*Table22[[#This Row],[Cashflow]]</f>
        <v>93912.975573378324</v>
      </c>
      <c r="F16" s="99">
        <f>VLOOKUP(Table22[[#This Row],[Date]],Table15[],3,TRUE)*Table22[[#This Row],[Benchmark Cashflow]]</f>
        <v>411042.14649996598</v>
      </c>
    </row>
    <row r="17" spans="1:6" x14ac:dyDescent="0.15">
      <c r="A17" s="75" t="s">
        <v>49</v>
      </c>
      <c r="B17" s="76">
        <f>'Final Table'!$C$8</f>
        <v>42069</v>
      </c>
      <c r="C17" s="89">
        <f>-'Final Table'!$G$8</f>
        <v>-143867</v>
      </c>
      <c r="D17" s="89">
        <f>-'Final Table'!$G$8</f>
        <v>-143867</v>
      </c>
      <c r="E17" s="88">
        <f>VLOOKUP(Table22[[#This Row],[Date]],Table15[],3,TRUE)*Table22[[#This Row],[Cashflow]]</f>
        <v>-197900.21811035962</v>
      </c>
      <c r="F17" s="99">
        <f>VLOOKUP(Table22[[#This Row],[Date]],Table15[],3,TRUE)*Table22[[#This Row],[Benchmark Cashflow]]</f>
        <v>-197900.21811035962</v>
      </c>
    </row>
    <row r="18" spans="1:6" x14ac:dyDescent="0.15">
      <c r="A18" s="75" t="s">
        <v>49</v>
      </c>
      <c r="B18" s="77">
        <f>'Final Table'!$V$8</f>
        <v>43820</v>
      </c>
      <c r="C18" s="90">
        <f>-'Final Table'!$W$8</f>
        <v>-311970.09079966851</v>
      </c>
      <c r="D18" s="90">
        <f>-'Final Table'!$W$8</f>
        <v>-311970.09079966851</v>
      </c>
      <c r="E18" s="88">
        <f>VLOOKUP(Table22[[#This Row],[Date]],Table15[],3,TRUE)*Table22[[#This Row],[Cashflow]]</f>
        <v>-394311.81945151003</v>
      </c>
      <c r="F18" s="99">
        <f>VLOOKUP(Table22[[#This Row],[Date]],Table15[],3,TRUE)*Table22[[#This Row],[Benchmark Cashflow]]</f>
        <v>-394311.81945151003</v>
      </c>
    </row>
    <row r="19" spans="1:6" x14ac:dyDescent="0.15">
      <c r="A19" s="75" t="s">
        <v>49</v>
      </c>
      <c r="B19" s="76">
        <f>'Final Table'!$V$8</f>
        <v>43820</v>
      </c>
      <c r="C19" s="89">
        <f>'Final Table'!$AK$8</f>
        <v>305215.04149028653</v>
      </c>
      <c r="D19" s="88">
        <f>(VLOOKUP(B19,'SP500'!A17:B3343,2,TRUE)*(-D17)/VLOOKUP(B17,'SP500'!A17:B3343,2,TRUE))+(VLOOKUP(B19,'SP500'!A17:B3343,2,TRUE)*(-D18)/VLOOKUP(B18,'SP500'!A17:B3343,2,TRUE))</f>
        <v>558803.13622340979</v>
      </c>
      <c r="E19" s="88">
        <f>VLOOKUP(Table22[[#This Row],[Date]],Table15[],3,TRUE)*Table22[[#This Row],[Cashflow]]</f>
        <v>385773.83500293834</v>
      </c>
      <c r="F19" s="99">
        <f>VLOOKUP(Table22[[#This Row],[Date]],Table15[],3,TRUE)*Table22[[#This Row],[Benchmark Cashflow]]</f>
        <v>706294.25017847528</v>
      </c>
    </row>
    <row r="20" spans="1:6" x14ac:dyDescent="0.15">
      <c r="A20" s="75" t="s">
        <v>50</v>
      </c>
      <c r="B20" s="76">
        <f>'Final Table'!$C$9</f>
        <v>42045</v>
      </c>
      <c r="C20" s="89">
        <f>-'Final Table'!$G$9</f>
        <v>-99954.693299999984</v>
      </c>
      <c r="D20" s="89">
        <f>-'Final Table'!$G$9</f>
        <v>-99954.693299999984</v>
      </c>
      <c r="E20" s="88">
        <f>VLOOKUP(Table22[[#This Row],[Date]],Table15[],3,TRUE)*Table22[[#This Row],[Cashflow]]</f>
        <v>-138313.76855957258</v>
      </c>
      <c r="F20" s="99">
        <f>VLOOKUP(Table22[[#This Row],[Date]],Table15[],3,TRUE)*Table22[[#This Row],[Benchmark Cashflow]]</f>
        <v>-138313.76855957258</v>
      </c>
    </row>
    <row r="21" spans="1:6" x14ac:dyDescent="0.15">
      <c r="A21" s="75" t="s">
        <v>50</v>
      </c>
      <c r="B21" s="77">
        <f>'Final Table'!$V$9</f>
        <v>43560</v>
      </c>
      <c r="C21" s="90">
        <f>-'Final Table'!$W$9</f>
        <v>-1380235.1517142947</v>
      </c>
      <c r="D21" s="90">
        <f>-'Final Table'!$W$9</f>
        <v>-1380235.1517142947</v>
      </c>
      <c r="E21" s="88">
        <f>VLOOKUP(Table22[[#This Row],[Date]],Table15[],3,TRUE)*Table22[[#This Row],[Cashflow]]</f>
        <v>-1754270.7330004654</v>
      </c>
      <c r="F21" s="99">
        <f>VLOOKUP(Table22[[#This Row],[Date]],Table15[],3,TRUE)*Table22[[#This Row],[Benchmark Cashflow]]</f>
        <v>-1754270.7330004654</v>
      </c>
    </row>
    <row r="22" spans="1:6" x14ac:dyDescent="0.15">
      <c r="A22" s="75" t="s">
        <v>50</v>
      </c>
      <c r="B22" s="76">
        <f>'Final Table'!$V$9</f>
        <v>43560</v>
      </c>
      <c r="C22" s="89">
        <f>'Final Table'!$AK$9</f>
        <v>1666699.433241606</v>
      </c>
      <c r="D22" s="88">
        <f>(VLOOKUP(B22,'SP500'!A20:B3346,2,TRUE)*(-D20)/VLOOKUP(B20,'SP500'!A20:B3346,2,TRUE))+(VLOOKUP(B22,'SP500'!A20:B3346,2,TRUE)*(-D21)/VLOOKUP(B21,'SP500'!A20:B3346,2,TRUE))</f>
        <v>1532558.1787752151</v>
      </c>
      <c r="E22" s="88">
        <f>VLOOKUP(Table22[[#This Row],[Date]],Table15[],3,TRUE)*Table22[[#This Row],[Cashflow]]</f>
        <v>2118365.1443833397</v>
      </c>
      <c r="F22" s="99">
        <f>VLOOKUP(Table22[[#This Row],[Date]],Table15[],3,TRUE)*Table22[[#This Row],[Benchmark Cashflow]]</f>
        <v>1947872.4015300055</v>
      </c>
    </row>
    <row r="23" spans="1:6" x14ac:dyDescent="0.15">
      <c r="A23" s="75" t="s">
        <v>51</v>
      </c>
      <c r="B23" s="76">
        <f>'Final Table'!$C$10</f>
        <v>42373</v>
      </c>
      <c r="C23" s="89">
        <f>-'Final Table'!$G$10</f>
        <v>-193085.8155</v>
      </c>
      <c r="D23" s="89">
        <f>-'Final Table'!$G$10</f>
        <v>-193085.8155</v>
      </c>
      <c r="E23" s="88">
        <f>VLOOKUP(Table22[[#This Row],[Date]],Table15[],3,TRUE)*Table22[[#This Row],[Cashflow]]</f>
        <v>-264711.00674669503</v>
      </c>
      <c r="F23" s="99">
        <f>VLOOKUP(Table22[[#This Row],[Date]],Table15[],3,TRUE)*Table22[[#This Row],[Benchmark Cashflow]]</f>
        <v>-264711.00674669503</v>
      </c>
    </row>
    <row r="24" spans="1:6" x14ac:dyDescent="0.15">
      <c r="A24" s="75" t="s">
        <v>51</v>
      </c>
      <c r="B24" s="77">
        <f>'Final Table'!$V$10</f>
        <v>43445</v>
      </c>
      <c r="C24" s="90">
        <f>-'Final Table'!$W$10</f>
        <v>-2283183.2615812528</v>
      </c>
      <c r="D24" s="90">
        <f>-'Final Table'!$W$10</f>
        <v>-2283183.2615812528</v>
      </c>
      <c r="E24" s="88">
        <f>VLOOKUP(Table22[[#This Row],[Date]],Table15[],3,TRUE)*Table22[[#This Row],[Cashflow]]</f>
        <v>-2951753.6444718284</v>
      </c>
      <c r="F24" s="99">
        <f>VLOOKUP(Table22[[#This Row],[Date]],Table15[],3,TRUE)*Table22[[#This Row],[Benchmark Cashflow]]</f>
        <v>-2951753.6444718284</v>
      </c>
    </row>
    <row r="25" spans="1:6" x14ac:dyDescent="0.15">
      <c r="A25" s="75" t="s">
        <v>51</v>
      </c>
      <c r="B25" s="76">
        <f>'Final Table'!$V$10</f>
        <v>43445</v>
      </c>
      <c r="C25" s="89">
        <f>'Final Table'!$AK$10</f>
        <v>2464942.3872399554</v>
      </c>
      <c r="D25" s="88">
        <f>(VLOOKUP(B25,'SP500'!A23:B3349,2,TRUE)*(-D23)/VLOOKUP(B23,'SP500'!A23:B3349,2,TRUE))+(VLOOKUP(B25,'SP500'!A23:B3349,2,TRUE)*(-D24)/VLOOKUP(B24,'SP500'!A23:B3349,2,TRUE))</f>
        <v>2551836.9307873482</v>
      </c>
      <c r="E25" s="88">
        <f>VLOOKUP(Table22[[#This Row],[Date]],Table15[],3,TRUE)*Table22[[#This Row],[Cashflow]]</f>
        <v>3186736.1667278484</v>
      </c>
      <c r="F25" s="99">
        <f>VLOOKUP(Table22[[#This Row],[Date]],Table15[],3,TRUE)*Table22[[#This Row],[Benchmark Cashflow]]</f>
        <v>3299075.5001123687</v>
      </c>
    </row>
    <row r="26" spans="1:6" x14ac:dyDescent="0.15">
      <c r="A26" s="75" t="s">
        <v>52</v>
      </c>
      <c r="B26" s="76">
        <f>'Final Table'!$C$11</f>
        <v>41780</v>
      </c>
      <c r="C26" s="89">
        <f>-'Final Table'!$G$11</f>
        <v>-328153.23149999999</v>
      </c>
      <c r="D26" s="89">
        <f>-'Final Table'!$G$11</f>
        <v>-328153.23149999999</v>
      </c>
      <c r="E26" s="88">
        <f>VLOOKUP(Table22[[#This Row],[Date]],Table15[],3,TRUE)*Table22[[#This Row],[Cashflow]]</f>
        <v>-448020.88941235811</v>
      </c>
      <c r="F26" s="99">
        <f>VLOOKUP(Table22[[#This Row],[Date]],Table15[],3,TRUE)*Table22[[#This Row],[Benchmark Cashflow]]</f>
        <v>-448020.88941235811</v>
      </c>
    </row>
    <row r="27" spans="1:6" x14ac:dyDescent="0.15">
      <c r="A27" s="78" t="s">
        <v>52</v>
      </c>
      <c r="B27" s="79">
        <f>'Final Table'!$U$11</f>
        <v>42727</v>
      </c>
      <c r="C27" s="90">
        <f>'Final Table'!$AK$11</f>
        <v>119651.67814487551</v>
      </c>
      <c r="D27" s="88">
        <f>(VLOOKUP(B27,'SP500'!A18:B3344,2,TRUE)*(-D26)/VLOOKUP(B26,'SP500'!A18:B3344,2,TRUE))</f>
        <v>415679.98134014412</v>
      </c>
      <c r="E27" s="88">
        <f>VLOOKUP(Table22[[#This Row],[Date]],Table15[],3,TRUE)*Table22[[#This Row],[Cashflow]]</f>
        <v>160968.16106172989</v>
      </c>
      <c r="F27" s="99">
        <f>VLOOKUP(Table22[[#This Row],[Date]],Table15[],3,TRUE)*Table22[[#This Row],[Benchmark Cashflow]]</f>
        <v>559216.91382782243</v>
      </c>
    </row>
    <row r="83" spans="1:3" x14ac:dyDescent="0.15">
      <c r="A83" s="38"/>
      <c r="B83" s="38"/>
      <c r="C83" s="38"/>
    </row>
    <row r="90" spans="1:3" x14ac:dyDescent="0.15">
      <c r="A90" s="38"/>
      <c r="B90" s="38"/>
      <c r="C90" s="38"/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2F3F-306B-8048-A843-ED1B460B8297}">
  <dimension ref="A1:AB178"/>
  <sheetViews>
    <sheetView topLeftCell="A25" workbookViewId="0">
      <selection activeCell="K43" sqref="K43"/>
    </sheetView>
  </sheetViews>
  <sheetFormatPr baseColWidth="10" defaultRowHeight="13" x14ac:dyDescent="0.15"/>
  <cols>
    <col min="1" max="1" width="10.83203125" style="43"/>
    <col min="3" max="3" width="15.6640625" customWidth="1"/>
  </cols>
  <sheetData>
    <row r="1" spans="1:28" x14ac:dyDescent="0.15">
      <c r="A1" s="46" t="s">
        <v>39</v>
      </c>
      <c r="B1" s="45" t="s">
        <v>40</v>
      </c>
      <c r="C1" s="44" t="s">
        <v>41</v>
      </c>
    </row>
    <row r="2" spans="1:28" x14ac:dyDescent="0.15">
      <c r="A2" s="41">
        <v>40544</v>
      </c>
      <c r="B2" s="25">
        <v>220.22300000000001</v>
      </c>
      <c r="C2" s="39">
        <f t="shared" ref="C2:C65" si="0">$B$178/B2</f>
        <v>1.4748686558624666</v>
      </c>
    </row>
    <row r="3" spans="1:28" x14ac:dyDescent="0.15">
      <c r="A3" s="41">
        <v>40575</v>
      </c>
      <c r="B3" s="25">
        <v>221.309</v>
      </c>
      <c r="C3" s="39">
        <f t="shared" si="0"/>
        <v>1.4676312305419121</v>
      </c>
    </row>
    <row r="4" spans="1:28" x14ac:dyDescent="0.15">
      <c r="A4" s="41">
        <v>40603</v>
      </c>
      <c r="B4" s="25">
        <v>223.46700000000001</v>
      </c>
      <c r="C4" s="39">
        <f t="shared" si="0"/>
        <v>1.453458452478442</v>
      </c>
    </row>
    <row r="5" spans="1:28" x14ac:dyDescent="0.15">
      <c r="A5" s="41">
        <v>40634</v>
      </c>
      <c r="B5" s="25">
        <v>224.90600000000001</v>
      </c>
      <c r="C5" s="39">
        <f t="shared" si="0"/>
        <v>1.4441588930486515</v>
      </c>
    </row>
    <row r="6" spans="1:28" x14ac:dyDescent="0.15">
      <c r="A6" s="41">
        <v>40664</v>
      </c>
      <c r="B6" s="25">
        <v>225.964</v>
      </c>
      <c r="C6" s="39">
        <f t="shared" si="0"/>
        <v>1.4373971075038503</v>
      </c>
    </row>
    <row r="7" spans="1:28" x14ac:dyDescent="0.15">
      <c r="A7" s="41">
        <v>40695</v>
      </c>
      <c r="B7" s="25">
        <v>225.72200000000001</v>
      </c>
      <c r="C7" s="39">
        <f t="shared" si="0"/>
        <v>1.4389381628729145</v>
      </c>
      <c r="D7" s="24"/>
      <c r="E7" s="24"/>
      <c r="F7" s="24"/>
      <c r="G7" s="24"/>
      <c r="H7" s="24"/>
    </row>
    <row r="8" spans="1:28" x14ac:dyDescent="0.15">
      <c r="A8" s="41">
        <v>40725</v>
      </c>
      <c r="B8" s="25">
        <v>225.922</v>
      </c>
      <c r="C8" s="39">
        <f t="shared" si="0"/>
        <v>1.4376643266260036</v>
      </c>
    </row>
    <row r="9" spans="1:28" x14ac:dyDescent="0.15">
      <c r="A9" s="41">
        <v>40756</v>
      </c>
      <c r="B9" s="25">
        <v>226.54499999999999</v>
      </c>
      <c r="C9" s="39">
        <f t="shared" si="0"/>
        <v>1.4337107417952284</v>
      </c>
    </row>
    <row r="10" spans="1:28" x14ac:dyDescent="0.15">
      <c r="A10" s="41">
        <v>40787</v>
      </c>
      <c r="B10" s="25">
        <v>226.88900000000001</v>
      </c>
      <c r="C10" s="39">
        <f t="shared" si="0"/>
        <v>1.4315370070827584</v>
      </c>
    </row>
    <row r="11" spans="1:28" x14ac:dyDescent="0.15">
      <c r="A11" s="41">
        <v>40817</v>
      </c>
      <c r="B11" s="25">
        <v>226.42099999999999</v>
      </c>
      <c r="C11" s="39">
        <f t="shared" si="0"/>
        <v>1.4344959168981677</v>
      </c>
    </row>
    <row r="12" spans="1:28" x14ac:dyDescent="0.15">
      <c r="A12" s="41">
        <v>40848</v>
      </c>
      <c r="B12" s="25">
        <v>226.23</v>
      </c>
      <c r="C12" s="39">
        <f t="shared" si="0"/>
        <v>1.4357070238253107</v>
      </c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</row>
    <row r="13" spans="1:28" x14ac:dyDescent="0.15">
      <c r="A13" s="41">
        <v>40878</v>
      </c>
      <c r="B13" s="25">
        <v>225.672</v>
      </c>
      <c r="C13" s="39">
        <f t="shared" si="0"/>
        <v>1.4392569747243789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 spans="1:28" x14ac:dyDescent="0.15">
      <c r="A14" s="41">
        <v>40909</v>
      </c>
      <c r="B14" s="25">
        <v>226.66499999999999</v>
      </c>
      <c r="C14" s="39">
        <f t="shared" si="0"/>
        <v>1.4329517128802418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</row>
    <row r="15" spans="1:28" x14ac:dyDescent="0.15">
      <c r="A15" s="41">
        <v>40940</v>
      </c>
      <c r="B15" s="25">
        <v>227.66300000000001</v>
      </c>
      <c r="C15" s="39">
        <f t="shared" si="0"/>
        <v>1.4266701220663875</v>
      </c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spans="1:28" x14ac:dyDescent="0.15">
      <c r="A16" s="41">
        <v>40969</v>
      </c>
      <c r="B16" s="25">
        <v>229.392</v>
      </c>
      <c r="C16" s="39">
        <f t="shared" si="0"/>
        <v>1.4159168584780639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28" x14ac:dyDescent="0.15">
      <c r="A17" s="41">
        <v>41000</v>
      </c>
      <c r="B17" s="25">
        <v>230.08500000000001</v>
      </c>
      <c r="C17" s="39">
        <f t="shared" si="0"/>
        <v>1.4116522154855815</v>
      </c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 x14ac:dyDescent="0.15">
      <c r="A18" s="41">
        <v>41030</v>
      </c>
      <c r="B18" s="25">
        <v>229.815</v>
      </c>
      <c r="C18" s="39">
        <f t="shared" si="0"/>
        <v>1.413310706437787</v>
      </c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spans="1:28" x14ac:dyDescent="0.15">
      <c r="A19" s="41">
        <v>41061</v>
      </c>
      <c r="B19" s="25">
        <v>229.47800000000001</v>
      </c>
      <c r="C19" s="39">
        <f t="shared" si="0"/>
        <v>1.415386224387523</v>
      </c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1:28" x14ac:dyDescent="0.15">
      <c r="A20" s="41">
        <v>41091</v>
      </c>
      <c r="B20" s="25">
        <v>229.10400000000001</v>
      </c>
      <c r="C20" s="39">
        <f t="shared" si="0"/>
        <v>1.4176967665339757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spans="1:28" x14ac:dyDescent="0.15">
      <c r="A21" s="41">
        <v>41122</v>
      </c>
      <c r="B21" s="25">
        <v>230.37899999999999</v>
      </c>
      <c r="C21" s="39">
        <f t="shared" si="0"/>
        <v>1.4098507242413589</v>
      </c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spans="1:28" x14ac:dyDescent="0.15">
      <c r="A22" s="41">
        <v>41153</v>
      </c>
      <c r="B22" s="25">
        <v>231.40700000000001</v>
      </c>
      <c r="C22" s="39">
        <f t="shared" si="0"/>
        <v>1.403587618352081</v>
      </c>
    </row>
    <row r="23" spans="1:28" x14ac:dyDescent="0.15">
      <c r="A23" s="41">
        <v>41183</v>
      </c>
      <c r="B23" s="25">
        <v>231.31700000000001</v>
      </c>
      <c r="C23" s="39">
        <f t="shared" si="0"/>
        <v>1.4041337212569764</v>
      </c>
    </row>
    <row r="24" spans="1:28" x14ac:dyDescent="0.15">
      <c r="A24" s="41">
        <v>41214</v>
      </c>
      <c r="B24" s="25">
        <v>230.221</v>
      </c>
      <c r="C24" s="39">
        <f t="shared" si="0"/>
        <v>1.4108183006763066</v>
      </c>
    </row>
    <row r="25" spans="1:28" x14ac:dyDescent="0.15">
      <c r="A25" s="41">
        <v>41244</v>
      </c>
      <c r="B25" s="25">
        <v>229.601</v>
      </c>
      <c r="C25" s="39">
        <f t="shared" si="0"/>
        <v>1.4146279850697514</v>
      </c>
    </row>
    <row r="26" spans="1:28" x14ac:dyDescent="0.15">
      <c r="A26" s="41">
        <v>41275</v>
      </c>
      <c r="B26" s="25">
        <v>230.28</v>
      </c>
      <c r="C26" s="39">
        <f t="shared" si="0"/>
        <v>1.4104568351572</v>
      </c>
    </row>
    <row r="27" spans="1:28" x14ac:dyDescent="0.15">
      <c r="A27" s="41">
        <v>41306</v>
      </c>
      <c r="B27" s="25">
        <v>232.166</v>
      </c>
      <c r="C27" s="39">
        <f t="shared" si="0"/>
        <v>1.39899899210048</v>
      </c>
    </row>
    <row r="28" spans="1:28" x14ac:dyDescent="0.15">
      <c r="A28" s="41">
        <v>41334</v>
      </c>
      <c r="B28" s="25">
        <v>232.773</v>
      </c>
      <c r="C28" s="39">
        <f t="shared" si="0"/>
        <v>1.395350835363208</v>
      </c>
    </row>
    <row r="29" spans="1:28" x14ac:dyDescent="0.15">
      <c r="A29" s="41">
        <v>41365</v>
      </c>
      <c r="B29" s="25">
        <v>232.53100000000001</v>
      </c>
      <c r="C29" s="39">
        <f t="shared" si="0"/>
        <v>1.3968030069109065</v>
      </c>
    </row>
    <row r="30" spans="1:28" x14ac:dyDescent="0.15">
      <c r="A30" s="41">
        <v>41395</v>
      </c>
      <c r="B30" s="25">
        <v>232.94499999999999</v>
      </c>
      <c r="C30" s="39">
        <f t="shared" si="0"/>
        <v>1.3943205477687868</v>
      </c>
    </row>
    <row r="31" spans="1:28" x14ac:dyDescent="0.15">
      <c r="A31" s="41">
        <v>41426</v>
      </c>
      <c r="B31" s="25">
        <v>233.50399999999999</v>
      </c>
      <c r="C31" s="39">
        <f t="shared" si="0"/>
        <v>1.3909825955872277</v>
      </c>
    </row>
    <row r="32" spans="1:28" x14ac:dyDescent="0.15">
      <c r="A32" s="41">
        <v>41456</v>
      </c>
      <c r="B32" s="25">
        <v>233.596</v>
      </c>
      <c r="C32" s="39">
        <f t="shared" si="0"/>
        <v>1.3904347677186253</v>
      </c>
    </row>
    <row r="33" spans="1:3" x14ac:dyDescent="0.15">
      <c r="A33" s="41">
        <v>41487</v>
      </c>
      <c r="B33" s="25">
        <v>233.87700000000001</v>
      </c>
      <c r="C33" s="39">
        <f t="shared" si="0"/>
        <v>1.3887641794618539</v>
      </c>
    </row>
    <row r="34" spans="1:3" x14ac:dyDescent="0.15">
      <c r="A34" s="41">
        <v>41518</v>
      </c>
      <c r="B34" s="25">
        <v>234.149</v>
      </c>
      <c r="C34" s="39">
        <f t="shared" si="0"/>
        <v>1.3871509167239664</v>
      </c>
    </row>
    <row r="35" spans="1:3" x14ac:dyDescent="0.15">
      <c r="A35" s="41">
        <v>41548</v>
      </c>
      <c r="B35" s="25">
        <v>233.54599999999999</v>
      </c>
      <c r="C35" s="39">
        <f t="shared" si="0"/>
        <v>1.3907324467128532</v>
      </c>
    </row>
    <row r="36" spans="1:3" x14ac:dyDescent="0.15">
      <c r="A36" s="41">
        <v>41579</v>
      </c>
      <c r="B36" s="25">
        <v>233.06899999999999</v>
      </c>
      <c r="C36" s="39">
        <f t="shared" si="0"/>
        <v>1.3935787256134451</v>
      </c>
    </row>
    <row r="37" spans="1:3" x14ac:dyDescent="0.15">
      <c r="A37" s="41">
        <v>41609</v>
      </c>
      <c r="B37" s="25">
        <v>233.04900000000001</v>
      </c>
      <c r="C37" s="39">
        <f t="shared" si="0"/>
        <v>1.3936983209539624</v>
      </c>
    </row>
    <row r="38" spans="1:3" x14ac:dyDescent="0.15">
      <c r="A38" s="41">
        <v>41640</v>
      </c>
      <c r="B38" s="25">
        <v>233.916</v>
      </c>
      <c r="C38" s="39">
        <f t="shared" si="0"/>
        <v>1.3885326356469845</v>
      </c>
    </row>
    <row r="39" spans="1:3" x14ac:dyDescent="0.15">
      <c r="A39" s="41">
        <v>41671</v>
      </c>
      <c r="B39" s="25">
        <v>234.78100000000001</v>
      </c>
      <c r="C39" s="39">
        <f t="shared" si="0"/>
        <v>1.3834168863749623</v>
      </c>
    </row>
    <row r="40" spans="1:3" x14ac:dyDescent="0.15">
      <c r="A40" s="41">
        <v>41699</v>
      </c>
      <c r="B40" s="25">
        <v>236.29300000000001</v>
      </c>
      <c r="C40" s="39">
        <f t="shared" si="0"/>
        <v>1.3745646295065872</v>
      </c>
    </row>
    <row r="41" spans="1:3" x14ac:dyDescent="0.15">
      <c r="A41" s="41">
        <v>41730</v>
      </c>
      <c r="B41" s="25">
        <v>237.072</v>
      </c>
      <c r="C41" s="39">
        <f t="shared" si="0"/>
        <v>1.370047917932105</v>
      </c>
    </row>
    <row r="42" spans="1:3" x14ac:dyDescent="0.15">
      <c r="A42" s="41">
        <v>41760</v>
      </c>
      <c r="B42" s="25">
        <v>237.9</v>
      </c>
      <c r="C42" s="39">
        <f t="shared" si="0"/>
        <v>1.3652795292139555</v>
      </c>
    </row>
    <row r="43" spans="1:3" x14ac:dyDescent="0.15">
      <c r="A43" s="41">
        <v>41791</v>
      </c>
      <c r="B43" s="25">
        <v>238.34299999999999</v>
      </c>
      <c r="C43" s="39">
        <f t="shared" si="0"/>
        <v>1.3627419307468649</v>
      </c>
    </row>
    <row r="44" spans="1:3" x14ac:dyDescent="0.15">
      <c r="A44" s="41">
        <v>41821</v>
      </c>
      <c r="B44" s="25">
        <v>238.25</v>
      </c>
      <c r="C44" s="39">
        <f t="shared" si="0"/>
        <v>1.3632738719832109</v>
      </c>
    </row>
    <row r="45" spans="1:3" x14ac:dyDescent="0.15">
      <c r="A45" s="41">
        <v>41852</v>
      </c>
      <c r="B45" s="25">
        <v>237.852</v>
      </c>
      <c r="C45" s="39">
        <f t="shared" si="0"/>
        <v>1.3655550510401426</v>
      </c>
    </row>
    <row r="46" spans="1:3" x14ac:dyDescent="0.15">
      <c r="A46" s="41">
        <v>41883</v>
      </c>
      <c r="B46" s="25">
        <v>238.03100000000001</v>
      </c>
      <c r="C46" s="39">
        <f t="shared" si="0"/>
        <v>1.3645281496947876</v>
      </c>
    </row>
    <row r="47" spans="1:3" x14ac:dyDescent="0.15">
      <c r="A47" s="41">
        <v>41913</v>
      </c>
      <c r="B47" s="25">
        <v>237.43299999999999</v>
      </c>
      <c r="C47" s="39">
        <f t="shared" si="0"/>
        <v>1.367964857454524</v>
      </c>
    </row>
    <row r="48" spans="1:3" x14ac:dyDescent="0.15">
      <c r="A48" s="41">
        <v>41944</v>
      </c>
      <c r="B48" s="25">
        <v>236.15100000000001</v>
      </c>
      <c r="C48" s="39">
        <f t="shared" si="0"/>
        <v>1.3753911692095311</v>
      </c>
    </row>
    <row r="49" spans="1:3" x14ac:dyDescent="0.15">
      <c r="A49" s="41">
        <v>41974</v>
      </c>
      <c r="B49" s="25">
        <v>234.81200000000001</v>
      </c>
      <c r="C49" s="39">
        <f t="shared" si="0"/>
        <v>1.3832342469720458</v>
      </c>
    </row>
    <row r="50" spans="1:3" x14ac:dyDescent="0.15">
      <c r="A50" s="41">
        <v>42005</v>
      </c>
      <c r="B50" s="25">
        <v>233.70699999999999</v>
      </c>
      <c r="C50" s="39">
        <f t="shared" si="0"/>
        <v>1.3897743756070637</v>
      </c>
    </row>
    <row r="51" spans="1:3" x14ac:dyDescent="0.15">
      <c r="A51" s="41">
        <v>42036</v>
      </c>
      <c r="B51" s="25">
        <v>234.72200000000001</v>
      </c>
      <c r="C51" s="39">
        <f t="shared" si="0"/>
        <v>1.3837646236824839</v>
      </c>
    </row>
    <row r="52" spans="1:3" x14ac:dyDescent="0.15">
      <c r="A52" s="41">
        <v>42064</v>
      </c>
      <c r="B52" s="25">
        <v>236.119</v>
      </c>
      <c r="C52" s="39">
        <f t="shared" si="0"/>
        <v>1.3755775689376968</v>
      </c>
    </row>
    <row r="53" spans="1:3" x14ac:dyDescent="0.15">
      <c r="A53" s="41">
        <v>42095</v>
      </c>
      <c r="B53" s="25">
        <v>236.59899999999999</v>
      </c>
      <c r="C53" s="39">
        <f t="shared" si="0"/>
        <v>1.3727868672310535</v>
      </c>
    </row>
    <row r="54" spans="1:3" x14ac:dyDescent="0.15">
      <c r="A54" s="41">
        <v>42125</v>
      </c>
      <c r="B54" s="25">
        <v>237.80500000000001</v>
      </c>
      <c r="C54" s="39">
        <f t="shared" si="0"/>
        <v>1.3658249406025946</v>
      </c>
    </row>
    <row r="55" spans="1:3" x14ac:dyDescent="0.15">
      <c r="A55" s="41">
        <v>42156</v>
      </c>
      <c r="B55" s="25">
        <v>238.63800000000001</v>
      </c>
      <c r="C55" s="39">
        <f t="shared" si="0"/>
        <v>1.3610573337020928</v>
      </c>
    </row>
    <row r="56" spans="1:3" x14ac:dyDescent="0.15">
      <c r="A56" s="41">
        <v>42186</v>
      </c>
      <c r="B56" s="25">
        <v>238.654</v>
      </c>
      <c r="C56" s="39">
        <f t="shared" si="0"/>
        <v>1.3609660847922098</v>
      </c>
    </row>
    <row r="57" spans="1:3" x14ac:dyDescent="0.15">
      <c r="A57" s="41">
        <v>42217</v>
      </c>
      <c r="B57" s="25">
        <v>238.316</v>
      </c>
      <c r="C57" s="39">
        <f t="shared" si="0"/>
        <v>1.3628963225297503</v>
      </c>
    </row>
    <row r="58" spans="1:3" x14ac:dyDescent="0.15">
      <c r="A58" s="41">
        <v>42248</v>
      </c>
      <c r="B58" s="25">
        <v>237.94499999999999</v>
      </c>
      <c r="C58" s="39">
        <f t="shared" si="0"/>
        <v>1.3650213284582573</v>
      </c>
    </row>
    <row r="59" spans="1:3" x14ac:dyDescent="0.15">
      <c r="A59" s="41">
        <v>42278</v>
      </c>
      <c r="B59" s="25">
        <v>237.83799999999999</v>
      </c>
      <c r="C59" s="39">
        <f t="shared" si="0"/>
        <v>1.365635432521296</v>
      </c>
    </row>
    <row r="60" spans="1:3" x14ac:dyDescent="0.15">
      <c r="A60" s="41">
        <v>42309</v>
      </c>
      <c r="B60" s="25">
        <v>237.33600000000001</v>
      </c>
      <c r="C60" s="39">
        <f t="shared" si="0"/>
        <v>1.3685239491691104</v>
      </c>
    </row>
    <row r="61" spans="1:3" x14ac:dyDescent="0.15">
      <c r="A61" s="41">
        <v>42339</v>
      </c>
      <c r="B61" s="25">
        <v>236.52500000000001</v>
      </c>
      <c r="C61" s="39">
        <f t="shared" si="0"/>
        <v>1.3732163619067752</v>
      </c>
    </row>
    <row r="62" spans="1:3" x14ac:dyDescent="0.15">
      <c r="A62" s="41">
        <v>42370</v>
      </c>
      <c r="B62" s="25">
        <v>236.916</v>
      </c>
      <c r="C62" s="39">
        <f t="shared" si="0"/>
        <v>1.3709500413648721</v>
      </c>
    </row>
    <row r="63" spans="1:3" x14ac:dyDescent="0.15">
      <c r="A63" s="41">
        <v>42401</v>
      </c>
      <c r="B63" s="25">
        <v>237.11099999999999</v>
      </c>
      <c r="C63" s="39">
        <f t="shared" si="0"/>
        <v>1.369822572550409</v>
      </c>
    </row>
    <row r="64" spans="1:3" x14ac:dyDescent="0.15">
      <c r="A64" s="41">
        <v>42430</v>
      </c>
      <c r="B64" s="25">
        <v>238.13200000000001</v>
      </c>
      <c r="C64" s="39">
        <f t="shared" si="0"/>
        <v>1.363949406211681</v>
      </c>
    </row>
    <row r="65" spans="1:3" x14ac:dyDescent="0.15">
      <c r="A65" s="41">
        <v>42461</v>
      </c>
      <c r="B65" s="25">
        <v>239.261</v>
      </c>
      <c r="C65" s="39">
        <f t="shared" si="0"/>
        <v>1.357513343169175</v>
      </c>
    </row>
    <row r="66" spans="1:3" x14ac:dyDescent="0.15">
      <c r="A66" s="41">
        <v>42491</v>
      </c>
      <c r="B66" s="25">
        <v>240.22900000000001</v>
      </c>
      <c r="C66" s="39">
        <f t="shared" ref="C66:C129" si="1">$B$178/B66</f>
        <v>1.3520432587239675</v>
      </c>
    </row>
    <row r="67" spans="1:3" x14ac:dyDescent="0.15">
      <c r="A67" s="41">
        <v>42522</v>
      </c>
      <c r="B67" s="25">
        <v>241.018</v>
      </c>
      <c r="C67" s="39">
        <f t="shared" si="1"/>
        <v>1.3476171904173133</v>
      </c>
    </row>
    <row r="68" spans="1:3" x14ac:dyDescent="0.15">
      <c r="A68" s="41">
        <v>42552</v>
      </c>
      <c r="B68" s="25">
        <v>240.62799999999999</v>
      </c>
      <c r="C68" s="39">
        <f t="shared" si="1"/>
        <v>1.3498013531259871</v>
      </c>
    </row>
    <row r="69" spans="1:3" x14ac:dyDescent="0.15">
      <c r="A69" s="41">
        <v>42583</v>
      </c>
      <c r="B69" s="25">
        <v>240.84899999999999</v>
      </c>
      <c r="C69" s="39">
        <f t="shared" si="1"/>
        <v>1.3485627924550239</v>
      </c>
    </row>
    <row r="70" spans="1:3" x14ac:dyDescent="0.15">
      <c r="A70" s="41">
        <v>42614</v>
      </c>
      <c r="B70" s="25">
        <v>241.428</v>
      </c>
      <c r="C70" s="39">
        <f t="shared" si="1"/>
        <v>1.3453286279967527</v>
      </c>
    </row>
    <row r="71" spans="1:3" x14ac:dyDescent="0.15">
      <c r="A71" s="41">
        <v>42644</v>
      </c>
      <c r="B71" s="25">
        <v>241.72900000000001</v>
      </c>
      <c r="C71" s="39">
        <f t="shared" si="1"/>
        <v>1.343653430080793</v>
      </c>
    </row>
    <row r="72" spans="1:3" x14ac:dyDescent="0.15">
      <c r="A72" s="41">
        <v>42675</v>
      </c>
      <c r="B72" s="25">
        <v>241.35300000000001</v>
      </c>
      <c r="C72" s="39">
        <f t="shared" si="1"/>
        <v>1.3457466863888163</v>
      </c>
    </row>
    <row r="73" spans="1:3" x14ac:dyDescent="0.15">
      <c r="A73" s="41">
        <v>42705</v>
      </c>
      <c r="B73" s="25">
        <v>241.43199999999999</v>
      </c>
      <c r="C73" s="39">
        <f t="shared" si="1"/>
        <v>1.3453063388448923</v>
      </c>
    </row>
    <row r="74" spans="1:3" x14ac:dyDescent="0.15">
      <c r="A74" s="41">
        <v>42736</v>
      </c>
      <c r="B74" s="25">
        <v>242.839</v>
      </c>
      <c r="C74" s="39">
        <f t="shared" si="1"/>
        <v>1.337511684696445</v>
      </c>
    </row>
    <row r="75" spans="1:3" x14ac:dyDescent="0.15">
      <c r="A75" s="41">
        <v>42767</v>
      </c>
      <c r="B75" s="25">
        <v>243.60300000000001</v>
      </c>
      <c r="C75" s="39">
        <f t="shared" si="1"/>
        <v>1.3333169131743041</v>
      </c>
    </row>
    <row r="76" spans="1:3" x14ac:dyDescent="0.15">
      <c r="A76" s="41">
        <v>42795</v>
      </c>
      <c r="B76" s="25">
        <v>243.80099999999999</v>
      </c>
      <c r="C76" s="39">
        <f t="shared" si="1"/>
        <v>1.3322340761522717</v>
      </c>
    </row>
    <row r="77" spans="1:3" x14ac:dyDescent="0.15">
      <c r="A77" s="41">
        <v>42826</v>
      </c>
      <c r="B77" s="25">
        <v>244.524</v>
      </c>
      <c r="C77" s="39">
        <f t="shared" si="1"/>
        <v>1.328294973090576</v>
      </c>
    </row>
    <row r="78" spans="1:3" x14ac:dyDescent="0.15">
      <c r="A78" s="41">
        <v>42856</v>
      </c>
      <c r="B78" s="25">
        <v>244.733</v>
      </c>
      <c r="C78" s="39">
        <f t="shared" si="1"/>
        <v>1.3271606199409152</v>
      </c>
    </row>
    <row r="79" spans="1:3" x14ac:dyDescent="0.15">
      <c r="A79" s="41">
        <v>42887</v>
      </c>
      <c r="B79" s="25">
        <v>244.95500000000001</v>
      </c>
      <c r="C79" s="39">
        <f t="shared" si="1"/>
        <v>1.3259578289889979</v>
      </c>
    </row>
    <row r="80" spans="1:3" x14ac:dyDescent="0.15">
      <c r="A80" s="41">
        <v>42917</v>
      </c>
      <c r="B80" s="25">
        <v>244.786</v>
      </c>
      <c r="C80" s="39">
        <f t="shared" si="1"/>
        <v>1.3268732688960971</v>
      </c>
    </row>
    <row r="81" spans="1:3" x14ac:dyDescent="0.15">
      <c r="A81" s="41">
        <v>42948</v>
      </c>
      <c r="B81" s="25">
        <v>245.51900000000001</v>
      </c>
      <c r="C81" s="39">
        <f t="shared" si="1"/>
        <v>1.3229118724009139</v>
      </c>
    </row>
    <row r="82" spans="1:3" x14ac:dyDescent="0.15">
      <c r="A82" s="41">
        <v>42979</v>
      </c>
      <c r="B82" s="25">
        <v>246.81899999999999</v>
      </c>
      <c r="C82" s="39">
        <f t="shared" si="1"/>
        <v>1.315944072376924</v>
      </c>
    </row>
    <row r="83" spans="1:3" x14ac:dyDescent="0.15">
      <c r="A83" s="41">
        <v>43009</v>
      </c>
      <c r="B83" s="25">
        <v>246.66300000000001</v>
      </c>
      <c r="C83" s="39">
        <f t="shared" si="1"/>
        <v>1.3167763304589664</v>
      </c>
    </row>
    <row r="84" spans="1:3" x14ac:dyDescent="0.15">
      <c r="A84" s="41">
        <v>43040</v>
      </c>
      <c r="B84" s="25">
        <v>246.66900000000001</v>
      </c>
      <c r="C84" s="39">
        <f t="shared" si="1"/>
        <v>1.3167443010674222</v>
      </c>
    </row>
    <row r="85" spans="1:3" x14ac:dyDescent="0.15">
      <c r="A85" s="41">
        <v>43070</v>
      </c>
      <c r="B85" s="25">
        <v>246.524</v>
      </c>
      <c r="C85" s="39">
        <f t="shared" si="1"/>
        <v>1.3175187811328715</v>
      </c>
    </row>
    <row r="86" spans="1:3" x14ac:dyDescent="0.15">
      <c r="A86" s="41">
        <v>43101</v>
      </c>
      <c r="B86" s="25">
        <v>247.86699999999999</v>
      </c>
      <c r="C86" s="39">
        <f t="shared" si="1"/>
        <v>1.3103801635554553</v>
      </c>
    </row>
    <row r="87" spans="1:3" x14ac:dyDescent="0.15">
      <c r="A87" s="41">
        <v>43132</v>
      </c>
      <c r="B87" s="25">
        <v>248.99100000000001</v>
      </c>
      <c r="C87" s="39">
        <f t="shared" si="1"/>
        <v>1.3044648200135747</v>
      </c>
    </row>
    <row r="88" spans="1:3" x14ac:dyDescent="0.15">
      <c r="A88" s="41">
        <v>43160</v>
      </c>
      <c r="B88" s="25">
        <v>249.554</v>
      </c>
      <c r="C88" s="39">
        <f t="shared" si="1"/>
        <v>1.3015219150965323</v>
      </c>
    </row>
    <row r="89" spans="1:3" x14ac:dyDescent="0.15">
      <c r="A89" s="41">
        <v>43191</v>
      </c>
      <c r="B89" s="25">
        <v>250.54599999999999</v>
      </c>
      <c r="C89" s="39">
        <f t="shared" si="1"/>
        <v>1.2963687306921683</v>
      </c>
    </row>
    <row r="90" spans="1:3" x14ac:dyDescent="0.15">
      <c r="A90" s="41">
        <v>43221</v>
      </c>
      <c r="B90" s="25">
        <v>251.58799999999999</v>
      </c>
      <c r="C90" s="39">
        <f t="shared" si="1"/>
        <v>1.2909995707267439</v>
      </c>
    </row>
    <row r="91" spans="1:3" x14ac:dyDescent="0.15">
      <c r="A91" s="41">
        <v>43252</v>
      </c>
      <c r="B91" s="25">
        <v>251.989</v>
      </c>
      <c r="C91" s="39">
        <f t="shared" si="1"/>
        <v>1.2889451523677622</v>
      </c>
    </row>
    <row r="92" spans="1:3" x14ac:dyDescent="0.15">
      <c r="A92" s="41">
        <v>43282</v>
      </c>
      <c r="B92" s="25">
        <v>252.006</v>
      </c>
      <c r="C92" s="39">
        <f t="shared" si="1"/>
        <v>1.2888582017888464</v>
      </c>
    </row>
    <row r="93" spans="1:3" x14ac:dyDescent="0.15">
      <c r="A93" s="41">
        <v>43313</v>
      </c>
      <c r="B93" s="25">
        <v>252.14599999999999</v>
      </c>
      <c r="C93" s="39">
        <f t="shared" si="1"/>
        <v>1.2881425840584424</v>
      </c>
    </row>
    <row r="94" spans="1:3" x14ac:dyDescent="0.15">
      <c r="A94" s="41">
        <v>43344</v>
      </c>
      <c r="B94" s="25">
        <v>252.43899999999999</v>
      </c>
      <c r="C94" s="39">
        <f t="shared" si="1"/>
        <v>1.2866474673089341</v>
      </c>
    </row>
    <row r="95" spans="1:3" x14ac:dyDescent="0.15">
      <c r="A95" s="41">
        <v>43374</v>
      </c>
      <c r="B95" s="25">
        <v>252.88499999999999</v>
      </c>
      <c r="C95" s="39">
        <f t="shared" si="1"/>
        <v>1.2843782747098484</v>
      </c>
    </row>
    <row r="96" spans="1:3" x14ac:dyDescent="0.15">
      <c r="A96" s="41">
        <v>43405</v>
      </c>
      <c r="B96" s="25">
        <v>252.03800000000001</v>
      </c>
      <c r="C96" s="39">
        <f t="shared" si="1"/>
        <v>1.2886945619311374</v>
      </c>
    </row>
    <row r="97" spans="1:3" x14ac:dyDescent="0.15">
      <c r="A97" s="41">
        <v>43435</v>
      </c>
      <c r="B97" s="25">
        <v>251.233</v>
      </c>
      <c r="C97" s="39">
        <f t="shared" si="1"/>
        <v>1.2928237930526643</v>
      </c>
    </row>
    <row r="98" spans="1:3" x14ac:dyDescent="0.15">
      <c r="A98" s="41">
        <v>43466</v>
      </c>
      <c r="B98" s="25">
        <v>251.71199999999999</v>
      </c>
      <c r="C98" s="39">
        <f t="shared" si="1"/>
        <v>1.2903635901347572</v>
      </c>
    </row>
    <row r="99" spans="1:3" x14ac:dyDescent="0.15">
      <c r="A99" s="41">
        <v>43497</v>
      </c>
      <c r="B99" s="25">
        <v>252.77600000000001</v>
      </c>
      <c r="C99" s="39">
        <f t="shared" si="1"/>
        <v>1.284932113808273</v>
      </c>
    </row>
    <row r="100" spans="1:3" x14ac:dyDescent="0.15">
      <c r="A100" s="41">
        <v>43525</v>
      </c>
      <c r="B100" s="25">
        <v>254.202</v>
      </c>
      <c r="C100" s="39">
        <f t="shared" si="1"/>
        <v>1.2777240147599154</v>
      </c>
    </row>
    <row r="101" spans="1:3" x14ac:dyDescent="0.15">
      <c r="A101" s="41">
        <v>43556</v>
      </c>
      <c r="B101" s="25">
        <v>255.548</v>
      </c>
      <c r="C101" s="39">
        <f t="shared" si="1"/>
        <v>1.2709940989559692</v>
      </c>
    </row>
    <row r="102" spans="1:3" x14ac:dyDescent="0.15">
      <c r="A102" s="41">
        <v>43586</v>
      </c>
      <c r="B102" s="25">
        <v>256.09199999999998</v>
      </c>
      <c r="C102" s="39">
        <f t="shared" si="1"/>
        <v>1.2682942067694423</v>
      </c>
    </row>
    <row r="103" spans="1:3" x14ac:dyDescent="0.15">
      <c r="A103" s="41">
        <v>43617</v>
      </c>
      <c r="B103" s="25">
        <v>256.14299999999997</v>
      </c>
      <c r="C103" s="39">
        <f t="shared" si="1"/>
        <v>1.2680416798429004</v>
      </c>
    </row>
    <row r="104" spans="1:3" x14ac:dyDescent="0.15">
      <c r="A104" s="41">
        <v>43647</v>
      </c>
      <c r="B104" s="25">
        <v>256.57100000000003</v>
      </c>
      <c r="C104" s="39">
        <f t="shared" si="1"/>
        <v>1.2659263907456415</v>
      </c>
    </row>
    <row r="105" spans="1:3" x14ac:dyDescent="0.15">
      <c r="A105" s="41">
        <v>43678</v>
      </c>
      <c r="B105" s="25">
        <v>256.55799999999999</v>
      </c>
      <c r="C105" s="39">
        <f t="shared" si="1"/>
        <v>1.2659905362530111</v>
      </c>
    </row>
    <row r="106" spans="1:3" x14ac:dyDescent="0.15">
      <c r="A106" s="41">
        <v>43709</v>
      </c>
      <c r="B106" s="25">
        <v>256.75900000000001</v>
      </c>
      <c r="C106" s="39">
        <f t="shared" si="1"/>
        <v>1.26499947421512</v>
      </c>
    </row>
    <row r="107" spans="1:3" x14ac:dyDescent="0.15">
      <c r="A107" s="41">
        <v>43739</v>
      </c>
      <c r="B107" s="25">
        <v>257.346</v>
      </c>
      <c r="C107" s="39">
        <f t="shared" si="1"/>
        <v>1.2621140410187064</v>
      </c>
    </row>
    <row r="108" spans="1:3" x14ac:dyDescent="0.15">
      <c r="A108" s="41">
        <v>43770</v>
      </c>
      <c r="B108" s="25">
        <v>257.20800000000003</v>
      </c>
      <c r="C108" s="39">
        <f t="shared" si="1"/>
        <v>1.2627912040060962</v>
      </c>
    </row>
    <row r="109" spans="1:3" x14ac:dyDescent="0.15">
      <c r="A109" s="41">
        <v>43800</v>
      </c>
      <c r="B109" s="25">
        <v>256.97399999999999</v>
      </c>
      <c r="C109" s="39">
        <f t="shared" si="1"/>
        <v>1.2639410990995199</v>
      </c>
    </row>
    <row r="110" spans="1:3" x14ac:dyDescent="0.15">
      <c r="A110" s="41">
        <v>43831</v>
      </c>
      <c r="B110" s="25">
        <v>257.971</v>
      </c>
      <c r="C110" s="39">
        <f t="shared" si="1"/>
        <v>1.2590562505087781</v>
      </c>
    </row>
    <row r="111" spans="1:3" x14ac:dyDescent="0.15">
      <c r="A111" s="41">
        <v>43862</v>
      </c>
      <c r="B111" s="25">
        <v>258.678</v>
      </c>
      <c r="C111" s="39">
        <f t="shared" si="1"/>
        <v>1.2556150890296045</v>
      </c>
    </row>
    <row r="112" spans="1:3" x14ac:dyDescent="0.15">
      <c r="A112" s="41">
        <v>43891</v>
      </c>
      <c r="B112" s="25">
        <v>258.11500000000001</v>
      </c>
      <c r="C112" s="39">
        <f t="shared" si="1"/>
        <v>1.2583538345311198</v>
      </c>
    </row>
    <row r="113" spans="1:3" x14ac:dyDescent="0.15">
      <c r="A113" s="41">
        <v>43922</v>
      </c>
      <c r="B113" s="25">
        <v>256.38900000000001</v>
      </c>
      <c r="C113" s="39">
        <f t="shared" si="1"/>
        <v>1.2668250197941409</v>
      </c>
    </row>
    <row r="114" spans="1:3" x14ac:dyDescent="0.15">
      <c r="A114" s="41">
        <v>43952</v>
      </c>
      <c r="B114" s="25">
        <v>256.39400000000001</v>
      </c>
      <c r="C114" s="39">
        <f t="shared" si="1"/>
        <v>1.2668003151399798</v>
      </c>
    </row>
    <row r="115" spans="1:3" x14ac:dyDescent="0.15">
      <c r="A115" s="41">
        <v>43983</v>
      </c>
      <c r="B115" s="25">
        <v>257.79700000000003</v>
      </c>
      <c r="C115" s="39">
        <f t="shared" si="1"/>
        <v>1.2599060501091943</v>
      </c>
    </row>
    <row r="116" spans="1:3" x14ac:dyDescent="0.15">
      <c r="A116" s="41">
        <v>44013</v>
      </c>
      <c r="B116" s="25">
        <v>259.101</v>
      </c>
      <c r="C116" s="39">
        <f t="shared" si="1"/>
        <v>1.253565212021567</v>
      </c>
    </row>
    <row r="117" spans="1:3" x14ac:dyDescent="0.15">
      <c r="A117" s="41">
        <v>44044</v>
      </c>
      <c r="B117" s="25">
        <v>259.91800000000001</v>
      </c>
      <c r="C117" s="39">
        <f t="shared" si="1"/>
        <v>1.2496248816934572</v>
      </c>
    </row>
    <row r="118" spans="1:3" x14ac:dyDescent="0.15">
      <c r="A118" s="41">
        <v>44075</v>
      </c>
      <c r="B118" s="25">
        <v>260.27999999999997</v>
      </c>
      <c r="C118" s="39">
        <f t="shared" si="1"/>
        <v>1.2478868910404182</v>
      </c>
    </row>
    <row r="119" spans="1:3" x14ac:dyDescent="0.15">
      <c r="A119" s="41">
        <v>44105</v>
      </c>
      <c r="B119" s="25">
        <v>260.38799999999998</v>
      </c>
      <c r="C119" s="39">
        <f t="shared" si="1"/>
        <v>1.2473693104136905</v>
      </c>
    </row>
    <row r="120" spans="1:3" x14ac:dyDescent="0.15">
      <c r="A120" s="41">
        <v>44136</v>
      </c>
      <c r="B120" s="25">
        <v>260.22899999999998</v>
      </c>
      <c r="C120" s="39">
        <f t="shared" si="1"/>
        <v>1.2481314534506147</v>
      </c>
    </row>
    <row r="121" spans="1:3" x14ac:dyDescent="0.15">
      <c r="A121" s="41">
        <v>44166</v>
      </c>
      <c r="B121" s="25">
        <v>260.47399999999999</v>
      </c>
      <c r="C121" s="39">
        <f t="shared" si="1"/>
        <v>1.2469574698434394</v>
      </c>
    </row>
    <row r="122" spans="1:3" x14ac:dyDescent="0.15">
      <c r="A122" s="41">
        <v>44197</v>
      </c>
      <c r="B122" s="25">
        <v>261.58199999999999</v>
      </c>
      <c r="C122" s="39">
        <f t="shared" si="1"/>
        <v>1.2416756504652462</v>
      </c>
    </row>
    <row r="123" spans="1:3" x14ac:dyDescent="0.15">
      <c r="A123" s="41">
        <v>44228</v>
      </c>
      <c r="B123" s="25">
        <v>263.01400000000001</v>
      </c>
      <c r="C123" s="39">
        <f t="shared" si="1"/>
        <v>1.2349152516596074</v>
      </c>
    </row>
    <row r="124" spans="1:3" x14ac:dyDescent="0.15">
      <c r="A124" s="41">
        <v>44256</v>
      </c>
      <c r="B124" s="25">
        <v>264.87700000000001</v>
      </c>
      <c r="C124" s="39">
        <f t="shared" si="1"/>
        <v>1.2262295329530311</v>
      </c>
    </row>
    <row r="125" spans="1:3" x14ac:dyDescent="0.15">
      <c r="A125" s="41">
        <v>44287</v>
      </c>
      <c r="B125" s="25">
        <v>267.05399999999997</v>
      </c>
      <c r="C125" s="39">
        <f t="shared" si="1"/>
        <v>1.2162334209560615</v>
      </c>
    </row>
    <row r="126" spans="1:3" x14ac:dyDescent="0.15">
      <c r="A126" s="41">
        <v>44317</v>
      </c>
      <c r="B126" s="25">
        <v>269.19499999999999</v>
      </c>
      <c r="C126" s="39">
        <f t="shared" si="1"/>
        <v>1.2065603001541634</v>
      </c>
    </row>
    <row r="127" spans="1:3" x14ac:dyDescent="0.15">
      <c r="A127" s="41">
        <v>44348</v>
      </c>
      <c r="B127" s="25">
        <v>271.69600000000003</v>
      </c>
      <c r="C127" s="39">
        <f t="shared" si="1"/>
        <v>1.1954537424179965</v>
      </c>
    </row>
    <row r="128" spans="1:3" x14ac:dyDescent="0.15">
      <c r="A128" s="41">
        <v>44378</v>
      </c>
      <c r="B128" s="25">
        <v>273.00299999999999</v>
      </c>
      <c r="C128" s="39">
        <f t="shared" si="1"/>
        <v>1.1897305157818781</v>
      </c>
    </row>
    <row r="129" spans="1:3" x14ac:dyDescent="0.15">
      <c r="A129" s="41">
        <v>44409</v>
      </c>
      <c r="B129" s="25">
        <v>273.56700000000001</v>
      </c>
      <c r="C129" s="39">
        <f t="shared" si="1"/>
        <v>1.18727770527878</v>
      </c>
    </row>
    <row r="130" spans="1:3" x14ac:dyDescent="0.15">
      <c r="A130" s="41">
        <v>44440</v>
      </c>
      <c r="B130" s="25">
        <v>274.31</v>
      </c>
      <c r="C130" s="39">
        <f t="shared" ref="C130:C178" si="2">$B$178/B130</f>
        <v>1.1840618278589916</v>
      </c>
    </row>
    <row r="131" spans="1:3" x14ac:dyDescent="0.15">
      <c r="A131" s="41">
        <v>44470</v>
      </c>
      <c r="B131" s="25">
        <v>276.589</v>
      </c>
      <c r="C131" s="39">
        <f t="shared" si="2"/>
        <v>1.1743055580663007</v>
      </c>
    </row>
    <row r="132" spans="1:3" x14ac:dyDescent="0.15">
      <c r="A132" s="41">
        <v>44501</v>
      </c>
      <c r="B132" s="25">
        <v>277.94799999999998</v>
      </c>
      <c r="C132" s="39">
        <f t="shared" si="2"/>
        <v>1.1685639040396048</v>
      </c>
    </row>
    <row r="133" spans="1:3" x14ac:dyDescent="0.15">
      <c r="A133" s="42">
        <v>44531</v>
      </c>
      <c r="B133" s="40">
        <v>278.80200000000002</v>
      </c>
      <c r="C133" s="39">
        <f t="shared" si="2"/>
        <v>1.1649844692649263</v>
      </c>
    </row>
    <row r="134" spans="1:3" x14ac:dyDescent="0.15">
      <c r="A134" s="42">
        <v>44562</v>
      </c>
      <c r="B134" s="25">
        <v>281.14800000000002</v>
      </c>
      <c r="C134" s="39">
        <f t="shared" si="2"/>
        <v>1.1552634199780898</v>
      </c>
    </row>
    <row r="135" spans="1:3" x14ac:dyDescent="0.15">
      <c r="A135" s="42">
        <v>44593</v>
      </c>
      <c r="B135" s="25">
        <v>283.71600000000001</v>
      </c>
      <c r="C135" s="39">
        <f t="shared" si="2"/>
        <v>1.1448067786095955</v>
      </c>
    </row>
    <row r="136" spans="1:3" x14ac:dyDescent="0.15">
      <c r="A136" s="42">
        <v>44621</v>
      </c>
      <c r="B136" s="25">
        <v>287.50400000000002</v>
      </c>
      <c r="C136" s="39">
        <f t="shared" si="2"/>
        <v>1.1297234125438254</v>
      </c>
    </row>
    <row r="137" spans="1:3" x14ac:dyDescent="0.15">
      <c r="A137" s="42">
        <v>44652</v>
      </c>
      <c r="B137" s="25">
        <v>289.10899999999998</v>
      </c>
      <c r="C137" s="39">
        <f t="shared" si="2"/>
        <v>1.1234517085251585</v>
      </c>
    </row>
    <row r="138" spans="1:3" x14ac:dyDescent="0.15">
      <c r="A138" s="42">
        <v>44682</v>
      </c>
      <c r="B138" s="25">
        <v>292.29599999999999</v>
      </c>
      <c r="C138" s="39">
        <f t="shared" si="2"/>
        <v>1.1112023428305553</v>
      </c>
    </row>
    <row r="139" spans="1:3" x14ac:dyDescent="0.15">
      <c r="A139" s="42">
        <v>44713</v>
      </c>
      <c r="B139" s="25">
        <v>296.31099999999998</v>
      </c>
      <c r="C139" s="39">
        <f t="shared" si="2"/>
        <v>1.0961456037744128</v>
      </c>
    </row>
    <row r="140" spans="1:3" x14ac:dyDescent="0.15">
      <c r="A140" s="42">
        <v>44743</v>
      </c>
      <c r="B140" s="25">
        <v>296.27600000000001</v>
      </c>
      <c r="C140" s="39">
        <f t="shared" si="2"/>
        <v>1.0962750948439968</v>
      </c>
    </row>
    <row r="141" spans="1:3" x14ac:dyDescent="0.15">
      <c r="A141" s="42">
        <v>44774</v>
      </c>
      <c r="B141" s="25">
        <v>296.17099999999999</v>
      </c>
      <c r="C141" s="39">
        <f t="shared" si="2"/>
        <v>1.0966637516839934</v>
      </c>
    </row>
    <row r="142" spans="1:3" x14ac:dyDescent="0.15">
      <c r="A142" s="42">
        <v>44805</v>
      </c>
      <c r="B142" s="25">
        <v>296.80799999999999</v>
      </c>
      <c r="C142" s="39">
        <f t="shared" si="2"/>
        <v>1.094310126411687</v>
      </c>
    </row>
    <row r="143" spans="1:3" x14ac:dyDescent="0.15">
      <c r="A143" s="42">
        <v>44835</v>
      </c>
      <c r="B143" s="25">
        <v>298.012</v>
      </c>
      <c r="C143" s="39">
        <f t="shared" si="2"/>
        <v>1.0898889977584796</v>
      </c>
    </row>
    <row r="144" spans="1:3" x14ac:dyDescent="0.15">
      <c r="A144" s="42">
        <v>44866</v>
      </c>
      <c r="B144" s="25">
        <v>297.71100000000001</v>
      </c>
      <c r="C144" s="39">
        <f t="shared" si="2"/>
        <v>1.0909909274430571</v>
      </c>
    </row>
    <row r="145" spans="1:3" x14ac:dyDescent="0.15">
      <c r="A145" s="42">
        <v>44896</v>
      </c>
      <c r="B145" s="40">
        <v>296.79700000000003</v>
      </c>
      <c r="C145" s="39">
        <f t="shared" si="2"/>
        <v>1.0943506841376429</v>
      </c>
    </row>
    <row r="146" spans="1:3" x14ac:dyDescent="0.15">
      <c r="A146" s="42">
        <v>44927</v>
      </c>
      <c r="B146" s="25">
        <v>299.17</v>
      </c>
      <c r="C146" s="39">
        <f t="shared" si="2"/>
        <v>1.085670354647859</v>
      </c>
    </row>
    <row r="147" spans="1:3" x14ac:dyDescent="0.15">
      <c r="A147" s="42">
        <v>44958</v>
      </c>
      <c r="B147" s="25">
        <v>300.83999999999997</v>
      </c>
      <c r="C147" s="39">
        <f t="shared" si="2"/>
        <v>1.079643664406329</v>
      </c>
    </row>
    <row r="148" spans="1:3" x14ac:dyDescent="0.15">
      <c r="A148" s="42">
        <v>44986</v>
      </c>
      <c r="B148" s="25">
        <v>301.83600000000001</v>
      </c>
      <c r="C148" s="39">
        <f t="shared" si="2"/>
        <v>1.0760810506367697</v>
      </c>
    </row>
    <row r="149" spans="1:3" x14ac:dyDescent="0.15">
      <c r="A149" s="42">
        <v>45017</v>
      </c>
      <c r="B149" s="25">
        <v>303.363</v>
      </c>
      <c r="C149" s="39">
        <f t="shared" si="2"/>
        <v>1.0706645174263176</v>
      </c>
    </row>
    <row r="150" spans="1:3" x14ac:dyDescent="0.15">
      <c r="A150" s="42">
        <v>45047</v>
      </c>
      <c r="B150" s="25">
        <v>304.12700000000001</v>
      </c>
      <c r="C150" s="39">
        <f t="shared" si="2"/>
        <v>1.0679748920681162</v>
      </c>
    </row>
    <row r="151" spans="1:3" x14ac:dyDescent="0.15">
      <c r="A151" s="42">
        <v>45078</v>
      </c>
      <c r="B151" s="25">
        <v>305.10899999999998</v>
      </c>
      <c r="C151" s="39">
        <f t="shared" si="2"/>
        <v>1.0645375914836994</v>
      </c>
    </row>
    <row r="152" spans="1:3" x14ac:dyDescent="0.15">
      <c r="A152" s="42">
        <v>45108</v>
      </c>
      <c r="B152" s="25">
        <v>305.69099999999997</v>
      </c>
      <c r="C152" s="39">
        <f t="shared" si="2"/>
        <v>1.0625108361057409</v>
      </c>
    </row>
    <row r="153" spans="1:3" x14ac:dyDescent="0.15">
      <c r="A153" s="42">
        <v>45139</v>
      </c>
      <c r="B153" s="25">
        <v>307.02600000000001</v>
      </c>
      <c r="C153" s="39">
        <f t="shared" si="2"/>
        <v>1.057890862663097</v>
      </c>
    </row>
    <row r="154" spans="1:3" x14ac:dyDescent="0.15">
      <c r="A154" s="42">
        <v>45170</v>
      </c>
      <c r="B154" s="25">
        <v>307.78899999999999</v>
      </c>
      <c r="C154" s="39">
        <f t="shared" si="2"/>
        <v>1.0552683819109845</v>
      </c>
    </row>
    <row r="155" spans="1:3" x14ac:dyDescent="0.15">
      <c r="A155" s="42">
        <v>45200</v>
      </c>
      <c r="B155" s="25">
        <v>307.67099999999999</v>
      </c>
      <c r="C155" s="39">
        <f t="shared" si="2"/>
        <v>1.0556731053625463</v>
      </c>
    </row>
    <row r="156" spans="1:3" x14ac:dyDescent="0.15">
      <c r="A156" s="42">
        <v>45231</v>
      </c>
      <c r="B156" s="25">
        <v>307.05099999999999</v>
      </c>
      <c r="C156" s="39">
        <f t="shared" si="2"/>
        <v>1.0578047295074759</v>
      </c>
    </row>
    <row r="157" spans="1:3" x14ac:dyDescent="0.15">
      <c r="A157" s="42">
        <v>45261</v>
      </c>
      <c r="B157" s="40">
        <v>306.74599999999998</v>
      </c>
      <c r="C157" s="39">
        <f t="shared" si="2"/>
        <v>1.0588565132063663</v>
      </c>
    </row>
    <row r="158" spans="1:3" x14ac:dyDescent="0.15">
      <c r="A158" s="42">
        <v>45292</v>
      </c>
      <c r="B158" s="25">
        <v>308.41699999999997</v>
      </c>
      <c r="C158" s="39">
        <f t="shared" si="2"/>
        <v>1.0531196399679656</v>
      </c>
    </row>
    <row r="159" spans="1:3" x14ac:dyDescent="0.15">
      <c r="A159" s="42">
        <v>45323</v>
      </c>
      <c r="B159" s="25">
        <v>310.32600000000002</v>
      </c>
      <c r="C159" s="39">
        <f t="shared" si="2"/>
        <v>1.0466412740150679</v>
      </c>
    </row>
    <row r="160" spans="1:3" x14ac:dyDescent="0.15">
      <c r="A160" s="42">
        <v>45352</v>
      </c>
      <c r="B160" s="25">
        <v>312.33199999999999</v>
      </c>
      <c r="C160" s="39">
        <f t="shared" si="2"/>
        <v>1.0399190604869177</v>
      </c>
    </row>
    <row r="161" spans="1:3" x14ac:dyDescent="0.15">
      <c r="A161" s="42">
        <v>45383</v>
      </c>
      <c r="B161" s="25">
        <v>313.548</v>
      </c>
      <c r="C161" s="39">
        <f t="shared" si="2"/>
        <v>1.0358860525342213</v>
      </c>
    </row>
    <row r="162" spans="1:3" x14ac:dyDescent="0.15">
      <c r="A162" s="42">
        <v>45413</v>
      </c>
      <c r="B162" s="25">
        <v>314.06900000000002</v>
      </c>
      <c r="C162" s="39">
        <f t="shared" si="2"/>
        <v>1.0341676510575701</v>
      </c>
    </row>
    <row r="163" spans="1:3" x14ac:dyDescent="0.15">
      <c r="A163" s="42">
        <v>45444</v>
      </c>
      <c r="B163" s="25">
        <v>314.17500000000001</v>
      </c>
      <c r="C163" s="39">
        <f t="shared" si="2"/>
        <v>1.0338187315986314</v>
      </c>
    </row>
    <row r="164" spans="1:3" x14ac:dyDescent="0.15">
      <c r="A164" s="42">
        <v>45474</v>
      </c>
      <c r="B164" s="25">
        <v>314.54000000000002</v>
      </c>
      <c r="C164" s="39">
        <f t="shared" si="2"/>
        <v>1.0326190627583136</v>
      </c>
    </row>
    <row r="165" spans="1:3" x14ac:dyDescent="0.15">
      <c r="A165" s="42">
        <v>45505</v>
      </c>
      <c r="B165" s="25">
        <v>314.79599999999999</v>
      </c>
      <c r="C165" s="39">
        <f t="shared" si="2"/>
        <v>1.0317793110458837</v>
      </c>
    </row>
    <row r="166" spans="1:3" x14ac:dyDescent="0.15">
      <c r="A166" s="42">
        <v>45536</v>
      </c>
      <c r="B166" s="25">
        <v>315.30099999999999</v>
      </c>
      <c r="C166" s="39">
        <f t="shared" si="2"/>
        <v>1.0301267677552561</v>
      </c>
    </row>
    <row r="167" spans="1:3" x14ac:dyDescent="0.15">
      <c r="A167" s="42">
        <v>45566</v>
      </c>
      <c r="B167" s="25">
        <v>315.66399999999999</v>
      </c>
      <c r="C167" s="39">
        <f t="shared" si="2"/>
        <v>1.0289421663540981</v>
      </c>
    </row>
    <row r="168" spans="1:3" x14ac:dyDescent="0.15">
      <c r="A168" s="42">
        <v>45597</v>
      </c>
      <c r="B168" s="25">
        <v>315.49299999999999</v>
      </c>
      <c r="C168" s="39">
        <f t="shared" si="2"/>
        <v>1.0294998621205542</v>
      </c>
    </row>
    <row r="169" spans="1:3" x14ac:dyDescent="0.15">
      <c r="A169" s="42">
        <v>45627</v>
      </c>
      <c r="B169" s="40">
        <v>315.60500000000002</v>
      </c>
      <c r="C169" s="39">
        <f t="shared" si="2"/>
        <v>1.0291345194150916</v>
      </c>
    </row>
    <row r="170" spans="1:3" x14ac:dyDescent="0.15">
      <c r="A170" s="42">
        <v>45658</v>
      </c>
      <c r="B170" s="25">
        <v>317.67099999999999</v>
      </c>
      <c r="C170" s="39">
        <f t="shared" si="2"/>
        <v>1.0224414567272431</v>
      </c>
    </row>
    <row r="171" spans="1:3" x14ac:dyDescent="0.15">
      <c r="A171" s="42">
        <v>45689</v>
      </c>
      <c r="B171" s="25">
        <v>319.08199999999999</v>
      </c>
      <c r="C171" s="39">
        <f t="shared" si="2"/>
        <v>1.0179201584545665</v>
      </c>
    </row>
    <row r="172" spans="1:3" x14ac:dyDescent="0.15">
      <c r="A172" s="42">
        <v>45717</v>
      </c>
      <c r="B172" s="25">
        <v>319.79899999999998</v>
      </c>
      <c r="C172" s="39">
        <f t="shared" si="2"/>
        <v>1.0156379475858275</v>
      </c>
    </row>
    <row r="173" spans="1:3" x14ac:dyDescent="0.15">
      <c r="A173" s="42">
        <v>45748</v>
      </c>
      <c r="B173" s="25">
        <v>320.79500000000002</v>
      </c>
      <c r="C173" s="39">
        <f t="shared" si="2"/>
        <v>1.012484608550632</v>
      </c>
    </row>
    <row r="174" spans="1:3" x14ac:dyDescent="0.15">
      <c r="A174" s="42">
        <v>45778</v>
      </c>
      <c r="B174" s="25">
        <v>321.46499999999997</v>
      </c>
      <c r="C174" s="39">
        <f t="shared" si="2"/>
        <v>1.0103743797925124</v>
      </c>
    </row>
    <row r="175" spans="1:3" x14ac:dyDescent="0.15">
      <c r="A175" s="42">
        <v>45809</v>
      </c>
      <c r="B175" s="25">
        <v>322.56099999999998</v>
      </c>
      <c r="C175" s="39">
        <f t="shared" si="2"/>
        <v>1.0069413227265542</v>
      </c>
    </row>
    <row r="176" spans="1:3" x14ac:dyDescent="0.15">
      <c r="A176" s="42">
        <v>45839</v>
      </c>
      <c r="B176" s="25">
        <v>323.048</v>
      </c>
      <c r="C176" s="39">
        <f t="shared" si="2"/>
        <v>1.0054233426611525</v>
      </c>
    </row>
    <row r="177" spans="1:3" x14ac:dyDescent="0.15">
      <c r="A177" s="42">
        <v>45870</v>
      </c>
      <c r="B177" s="25">
        <v>323.976</v>
      </c>
      <c r="C177" s="39">
        <f t="shared" si="2"/>
        <v>1.0025433982764156</v>
      </c>
    </row>
    <row r="178" spans="1:3" x14ac:dyDescent="0.15">
      <c r="A178" s="42">
        <v>45901</v>
      </c>
      <c r="B178" s="40">
        <v>324.8</v>
      </c>
      <c r="C178" s="39">
        <f t="shared" si="2"/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07306-8014-F741-AA58-F532BF7F147B}">
  <dimension ref="A1:C3328"/>
  <sheetViews>
    <sheetView topLeftCell="A3314" workbookViewId="0">
      <selection activeCell="A3329" sqref="A3329"/>
    </sheetView>
  </sheetViews>
  <sheetFormatPr baseColWidth="10" defaultRowHeight="13" x14ac:dyDescent="0.15"/>
  <cols>
    <col min="1" max="1" width="10.5" customWidth="1"/>
    <col min="2" max="2" width="9.1640625" bestFit="1" customWidth="1"/>
  </cols>
  <sheetData>
    <row r="1" spans="1:3" x14ac:dyDescent="0.15">
      <c r="A1" t="s">
        <v>62</v>
      </c>
      <c r="B1" t="s">
        <v>61</v>
      </c>
      <c r="C1" s="100" t="s">
        <v>85</v>
      </c>
    </row>
    <row r="2" spans="1:3" x14ac:dyDescent="0.15">
      <c r="A2" s="22">
        <v>41129</v>
      </c>
      <c r="B2">
        <v>2438.16</v>
      </c>
      <c r="C2">
        <f t="shared" ref="C2:C65" si="0">(B2 / $B$2)</f>
        <v>1</v>
      </c>
    </row>
    <row r="3" spans="1:3" x14ac:dyDescent="0.15">
      <c r="A3" s="22">
        <v>41130</v>
      </c>
      <c r="B3">
        <v>2440.23</v>
      </c>
      <c r="C3">
        <f t="shared" si="0"/>
        <v>1.0008490008859141</v>
      </c>
    </row>
    <row r="4" spans="1:3" x14ac:dyDescent="0.15">
      <c r="A4" s="22">
        <v>41131</v>
      </c>
      <c r="B4">
        <v>2445.64</v>
      </c>
      <c r="C4">
        <f t="shared" si="0"/>
        <v>1.0030678872592447</v>
      </c>
    </row>
    <row r="5" spans="1:3" x14ac:dyDescent="0.15">
      <c r="A5" s="22">
        <v>41134</v>
      </c>
      <c r="B5">
        <v>2443.0500000000002</v>
      </c>
      <c r="C5">
        <f t="shared" si="0"/>
        <v>1.0020056107884636</v>
      </c>
    </row>
    <row r="6" spans="1:3" x14ac:dyDescent="0.15">
      <c r="A6" s="22">
        <v>41135</v>
      </c>
      <c r="B6">
        <v>2443.16</v>
      </c>
      <c r="C6">
        <f t="shared" si="0"/>
        <v>1.00205072677757</v>
      </c>
    </row>
    <row r="7" spans="1:3" x14ac:dyDescent="0.15">
      <c r="A7" s="22">
        <v>41136</v>
      </c>
      <c r="B7">
        <v>2446.8200000000002</v>
      </c>
      <c r="C7">
        <f t="shared" si="0"/>
        <v>1.0035518587787513</v>
      </c>
    </row>
    <row r="8" spans="1:3" x14ac:dyDescent="0.15">
      <c r="A8" s="22">
        <v>41137</v>
      </c>
      <c r="B8">
        <v>2464.38</v>
      </c>
      <c r="C8">
        <f t="shared" si="0"/>
        <v>1.0107540112215769</v>
      </c>
    </row>
    <row r="9" spans="1:3" x14ac:dyDescent="0.15">
      <c r="A9" s="22">
        <v>41138</v>
      </c>
      <c r="B9">
        <v>2469</v>
      </c>
      <c r="C9">
        <f t="shared" si="0"/>
        <v>1.0126488827640516</v>
      </c>
    </row>
    <row r="10" spans="1:3" x14ac:dyDescent="0.15">
      <c r="A10" s="22">
        <v>41141</v>
      </c>
      <c r="B10">
        <v>2468.9899999999998</v>
      </c>
      <c r="C10">
        <f t="shared" si="0"/>
        <v>1.0126447813104964</v>
      </c>
    </row>
    <row r="11" spans="1:3" x14ac:dyDescent="0.15">
      <c r="A11" s="22">
        <v>41142</v>
      </c>
      <c r="B11">
        <v>2460.41</v>
      </c>
      <c r="C11">
        <f t="shared" si="0"/>
        <v>1.0091257341601865</v>
      </c>
    </row>
    <row r="12" spans="1:3" x14ac:dyDescent="0.15">
      <c r="A12" s="22">
        <v>41143</v>
      </c>
      <c r="B12">
        <v>2461.12</v>
      </c>
      <c r="C12">
        <f t="shared" si="0"/>
        <v>1.0094169373626014</v>
      </c>
    </row>
    <row r="13" spans="1:3" x14ac:dyDescent="0.15">
      <c r="A13" s="22">
        <v>41144</v>
      </c>
      <c r="B13">
        <v>2441.29</v>
      </c>
      <c r="C13">
        <f t="shared" si="0"/>
        <v>1.0012837549627589</v>
      </c>
    </row>
    <row r="14" spans="1:3" x14ac:dyDescent="0.15">
      <c r="A14" s="22">
        <v>41145</v>
      </c>
      <c r="B14">
        <v>2457.4</v>
      </c>
      <c r="C14">
        <f t="shared" si="0"/>
        <v>1.0078911966400894</v>
      </c>
    </row>
    <row r="15" spans="1:3" x14ac:dyDescent="0.15">
      <c r="A15" s="22">
        <v>41148</v>
      </c>
      <c r="B15">
        <v>2456.2199999999998</v>
      </c>
      <c r="C15">
        <f t="shared" si="0"/>
        <v>1.0074072251205828</v>
      </c>
    </row>
    <row r="16" spans="1:3" x14ac:dyDescent="0.15">
      <c r="A16" s="22">
        <v>41149</v>
      </c>
      <c r="B16">
        <v>2454.39</v>
      </c>
      <c r="C16">
        <f t="shared" si="0"/>
        <v>1.0066566591199921</v>
      </c>
    </row>
    <row r="17" spans="1:3" x14ac:dyDescent="0.15">
      <c r="A17" s="22">
        <v>41150</v>
      </c>
      <c r="B17">
        <v>2457.0500000000002</v>
      </c>
      <c r="C17">
        <f t="shared" si="0"/>
        <v>1.0077476457656596</v>
      </c>
    </row>
    <row r="18" spans="1:3" x14ac:dyDescent="0.15">
      <c r="A18" s="22">
        <v>41151</v>
      </c>
      <c r="B18">
        <v>2438.1999999999998</v>
      </c>
      <c r="C18">
        <f t="shared" si="0"/>
        <v>1.0000164058142205</v>
      </c>
    </row>
    <row r="19" spans="1:3" x14ac:dyDescent="0.15">
      <c r="A19" s="22">
        <v>41152</v>
      </c>
      <c r="B19">
        <v>2450.6</v>
      </c>
      <c r="C19">
        <f t="shared" si="0"/>
        <v>1.0051022082225942</v>
      </c>
    </row>
    <row r="20" spans="1:3" x14ac:dyDescent="0.15">
      <c r="A20" s="22">
        <v>41156</v>
      </c>
      <c r="B20">
        <v>2447.8000000000002</v>
      </c>
      <c r="C20">
        <f t="shared" si="0"/>
        <v>1.0039538012271549</v>
      </c>
    </row>
    <row r="21" spans="1:3" x14ac:dyDescent="0.15">
      <c r="A21" s="22">
        <v>41157</v>
      </c>
      <c r="B21">
        <v>2445.81</v>
      </c>
      <c r="C21">
        <f t="shared" si="0"/>
        <v>1.003137611969682</v>
      </c>
    </row>
    <row r="22" spans="1:3" x14ac:dyDescent="0.15">
      <c r="A22" s="22">
        <v>41158</v>
      </c>
      <c r="B22">
        <v>2496.12</v>
      </c>
      <c r="C22">
        <f t="shared" si="0"/>
        <v>1.023772024805591</v>
      </c>
    </row>
    <row r="23" spans="1:3" x14ac:dyDescent="0.15">
      <c r="A23" s="22">
        <v>41159</v>
      </c>
      <c r="B23">
        <v>2506.37</v>
      </c>
      <c r="C23">
        <f t="shared" si="0"/>
        <v>1.0279760146996095</v>
      </c>
    </row>
    <row r="24" spans="1:3" x14ac:dyDescent="0.15">
      <c r="A24" s="22">
        <v>41162</v>
      </c>
      <c r="B24">
        <v>2491.11</v>
      </c>
      <c r="C24">
        <f t="shared" si="0"/>
        <v>1.021717196574466</v>
      </c>
    </row>
    <row r="25" spans="1:3" x14ac:dyDescent="0.15">
      <c r="A25" s="22">
        <v>41163</v>
      </c>
      <c r="B25">
        <v>2498.9499999999998</v>
      </c>
      <c r="C25">
        <f t="shared" si="0"/>
        <v>1.0249327361616958</v>
      </c>
    </row>
    <row r="26" spans="1:3" x14ac:dyDescent="0.15">
      <c r="A26" s="22">
        <v>41164</v>
      </c>
      <c r="B26">
        <v>2504.84</v>
      </c>
      <c r="C26">
        <f t="shared" si="0"/>
        <v>1.0273484923056733</v>
      </c>
    </row>
    <row r="27" spans="1:3" x14ac:dyDescent="0.15">
      <c r="A27" s="22">
        <v>41165</v>
      </c>
      <c r="B27">
        <v>2546.0300000000002</v>
      </c>
      <c r="C27">
        <f t="shared" si="0"/>
        <v>1.0442423794992948</v>
      </c>
    </row>
    <row r="28" spans="1:3" x14ac:dyDescent="0.15">
      <c r="A28" s="22">
        <v>41166</v>
      </c>
      <c r="B28">
        <v>2556.13</v>
      </c>
      <c r="C28">
        <f t="shared" si="0"/>
        <v>1.048384847589986</v>
      </c>
    </row>
    <row r="29" spans="1:3" x14ac:dyDescent="0.15">
      <c r="A29" s="22">
        <v>41169</v>
      </c>
      <c r="B29">
        <v>2548.2600000000002</v>
      </c>
      <c r="C29">
        <f t="shared" si="0"/>
        <v>1.045157003642091</v>
      </c>
    </row>
    <row r="30" spans="1:3" x14ac:dyDescent="0.15">
      <c r="A30" s="22">
        <v>41170</v>
      </c>
      <c r="B30">
        <v>2545.0500000000002</v>
      </c>
      <c r="C30">
        <f t="shared" si="0"/>
        <v>1.0438404370508909</v>
      </c>
    </row>
    <row r="31" spans="1:3" x14ac:dyDescent="0.15">
      <c r="A31" s="22">
        <v>41171</v>
      </c>
      <c r="B31">
        <v>2548.11</v>
      </c>
      <c r="C31">
        <f t="shared" si="0"/>
        <v>1.0450954818387637</v>
      </c>
    </row>
    <row r="32" spans="1:3" x14ac:dyDescent="0.15">
      <c r="A32" s="22">
        <v>41172</v>
      </c>
      <c r="B32">
        <v>2547.11</v>
      </c>
      <c r="C32">
        <f t="shared" si="0"/>
        <v>1.0446853364832498</v>
      </c>
    </row>
    <row r="33" spans="1:3" x14ac:dyDescent="0.15">
      <c r="A33" s="22">
        <v>41173</v>
      </c>
      <c r="B33">
        <v>2546.92</v>
      </c>
      <c r="C33">
        <f t="shared" si="0"/>
        <v>1.044607408865702</v>
      </c>
    </row>
    <row r="34" spans="1:3" x14ac:dyDescent="0.15">
      <c r="A34" s="22">
        <v>41176</v>
      </c>
      <c r="B34">
        <v>2541.23</v>
      </c>
      <c r="C34">
        <f t="shared" si="0"/>
        <v>1.0422736817928275</v>
      </c>
    </row>
    <row r="35" spans="1:3" x14ac:dyDescent="0.15">
      <c r="A35" s="22">
        <v>41177</v>
      </c>
      <c r="B35">
        <v>2514.83</v>
      </c>
      <c r="C35">
        <f t="shared" si="0"/>
        <v>1.0314458444072581</v>
      </c>
    </row>
    <row r="36" spans="1:3" x14ac:dyDescent="0.15">
      <c r="A36" s="22">
        <v>41178</v>
      </c>
      <c r="B36">
        <v>2500.92</v>
      </c>
      <c r="C36">
        <f t="shared" si="0"/>
        <v>1.0257407225120583</v>
      </c>
    </row>
    <row r="37" spans="1:3" x14ac:dyDescent="0.15">
      <c r="A37" s="22">
        <v>41179</v>
      </c>
      <c r="B37">
        <v>2525.23</v>
      </c>
      <c r="C37">
        <f t="shared" si="0"/>
        <v>1.0357113561046036</v>
      </c>
    </row>
    <row r="38" spans="1:3" x14ac:dyDescent="0.15">
      <c r="A38" s="22">
        <v>41180</v>
      </c>
      <c r="B38">
        <v>2513.9299999999998</v>
      </c>
      <c r="C38">
        <f t="shared" si="0"/>
        <v>1.0310767135872954</v>
      </c>
    </row>
    <row r="39" spans="1:3" x14ac:dyDescent="0.15">
      <c r="A39" s="22">
        <v>41183</v>
      </c>
      <c r="B39">
        <v>2520.71</v>
      </c>
      <c r="C39">
        <f t="shared" si="0"/>
        <v>1.0338574990976803</v>
      </c>
    </row>
    <row r="40" spans="1:3" x14ac:dyDescent="0.15">
      <c r="A40" s="22">
        <v>41184</v>
      </c>
      <c r="B40">
        <v>2523.08</v>
      </c>
      <c r="C40">
        <f t="shared" si="0"/>
        <v>1.0348295435902484</v>
      </c>
    </row>
    <row r="41" spans="1:3" x14ac:dyDescent="0.15">
      <c r="A41" s="22">
        <v>41185</v>
      </c>
      <c r="B41">
        <v>2532.79</v>
      </c>
      <c r="C41">
        <f t="shared" si="0"/>
        <v>1.0388120549922892</v>
      </c>
    </row>
    <row r="42" spans="1:3" x14ac:dyDescent="0.15">
      <c r="A42" s="22">
        <v>41186</v>
      </c>
      <c r="B42">
        <v>2550.98</v>
      </c>
      <c r="C42">
        <f t="shared" si="0"/>
        <v>1.0462725990090889</v>
      </c>
    </row>
    <row r="43" spans="1:3" x14ac:dyDescent="0.15">
      <c r="A43" s="22">
        <v>41187</v>
      </c>
      <c r="B43">
        <v>2551.0300000000002</v>
      </c>
      <c r="C43">
        <f t="shared" si="0"/>
        <v>1.0462931062768646</v>
      </c>
    </row>
    <row r="44" spans="1:3" x14ac:dyDescent="0.15">
      <c r="A44" s="22">
        <v>41190</v>
      </c>
      <c r="B44">
        <v>2542.21</v>
      </c>
      <c r="C44">
        <f t="shared" si="0"/>
        <v>1.0426756242412312</v>
      </c>
    </row>
    <row r="45" spans="1:3" x14ac:dyDescent="0.15">
      <c r="A45" s="22">
        <v>41191</v>
      </c>
      <c r="B45">
        <v>2517.14</v>
      </c>
      <c r="C45">
        <f t="shared" si="0"/>
        <v>1.0323932801784952</v>
      </c>
    </row>
    <row r="46" spans="1:3" x14ac:dyDescent="0.15">
      <c r="A46" s="22">
        <v>41192</v>
      </c>
      <c r="B46">
        <v>2501.75</v>
      </c>
      <c r="C46">
        <f t="shared" si="0"/>
        <v>1.0260811431571351</v>
      </c>
    </row>
    <row r="47" spans="1:3" x14ac:dyDescent="0.15">
      <c r="A47" s="22">
        <v>41193</v>
      </c>
      <c r="B47">
        <v>2502.66</v>
      </c>
      <c r="C47">
        <f t="shared" si="0"/>
        <v>1.0264543754306525</v>
      </c>
    </row>
    <row r="48" spans="1:3" x14ac:dyDescent="0.15">
      <c r="A48" s="22">
        <v>41194</v>
      </c>
      <c r="B48">
        <v>2495.2800000000002</v>
      </c>
      <c r="C48">
        <f t="shared" si="0"/>
        <v>1.0234275027069595</v>
      </c>
    </row>
    <row r="49" spans="1:3" x14ac:dyDescent="0.15">
      <c r="A49" s="22">
        <v>41197</v>
      </c>
      <c r="B49">
        <v>2515.44</v>
      </c>
      <c r="C49">
        <f t="shared" si="0"/>
        <v>1.0316960330741216</v>
      </c>
    </row>
    <row r="50" spans="1:3" x14ac:dyDescent="0.15">
      <c r="A50" s="22">
        <v>41198</v>
      </c>
      <c r="B50">
        <v>2541.2800000000002</v>
      </c>
      <c r="C50">
        <f t="shared" si="0"/>
        <v>1.0422941890606032</v>
      </c>
    </row>
    <row r="51" spans="1:3" x14ac:dyDescent="0.15">
      <c r="A51" s="22">
        <v>41199</v>
      </c>
      <c r="B51">
        <v>2552.0500000000002</v>
      </c>
      <c r="C51">
        <f t="shared" si="0"/>
        <v>1.0467114545394889</v>
      </c>
    </row>
    <row r="52" spans="1:3" x14ac:dyDescent="0.15">
      <c r="A52" s="22">
        <v>41200</v>
      </c>
      <c r="B52">
        <v>2545.9499999999998</v>
      </c>
      <c r="C52">
        <f t="shared" si="0"/>
        <v>1.0442095678708534</v>
      </c>
    </row>
    <row r="53" spans="1:3" x14ac:dyDescent="0.15">
      <c r="A53" s="22">
        <v>41201</v>
      </c>
      <c r="B53">
        <v>2503.8000000000002</v>
      </c>
      <c r="C53">
        <f t="shared" si="0"/>
        <v>1.0269219411359387</v>
      </c>
    </row>
    <row r="54" spans="1:3" x14ac:dyDescent="0.15">
      <c r="A54" s="22">
        <v>41204</v>
      </c>
      <c r="B54">
        <v>2504.96</v>
      </c>
      <c r="C54">
        <f t="shared" si="0"/>
        <v>1.0273977097483349</v>
      </c>
    </row>
    <row r="55" spans="1:3" x14ac:dyDescent="0.15">
      <c r="A55" s="22">
        <v>41205</v>
      </c>
      <c r="B55">
        <v>2468.7800000000002</v>
      </c>
      <c r="C55">
        <f t="shared" si="0"/>
        <v>1.0125586507858386</v>
      </c>
    </row>
    <row r="56" spans="1:3" x14ac:dyDescent="0.15">
      <c r="A56" s="22">
        <v>41206</v>
      </c>
      <c r="B56">
        <v>2461.1799999999998</v>
      </c>
      <c r="C56">
        <f t="shared" si="0"/>
        <v>1.0094415460839321</v>
      </c>
    </row>
    <row r="57" spans="1:3" x14ac:dyDescent="0.15">
      <c r="A57" s="22">
        <v>41207</v>
      </c>
      <c r="B57">
        <v>2468.6</v>
      </c>
      <c r="C57">
        <f t="shared" si="0"/>
        <v>1.0124848246218461</v>
      </c>
    </row>
    <row r="58" spans="1:3" x14ac:dyDescent="0.15">
      <c r="A58" s="22">
        <v>41208</v>
      </c>
      <c r="B58">
        <v>2466.8000000000002</v>
      </c>
      <c r="C58">
        <f t="shared" si="0"/>
        <v>1.0117465629819209</v>
      </c>
    </row>
    <row r="59" spans="1:3" x14ac:dyDescent="0.15">
      <c r="A59" s="22">
        <v>41213</v>
      </c>
      <c r="B59">
        <v>2467.5100000000002</v>
      </c>
      <c r="C59">
        <f t="shared" si="0"/>
        <v>1.0120377661843358</v>
      </c>
    </row>
    <row r="60" spans="1:3" x14ac:dyDescent="0.15">
      <c r="A60" s="22">
        <v>41214</v>
      </c>
      <c r="B60">
        <v>2494.67</v>
      </c>
      <c r="C60">
        <f t="shared" si="0"/>
        <v>1.0231773140400959</v>
      </c>
    </row>
    <row r="61" spans="1:3" x14ac:dyDescent="0.15">
      <c r="A61" s="22">
        <v>41215</v>
      </c>
      <c r="B61">
        <v>2471.3000000000002</v>
      </c>
      <c r="C61">
        <f t="shared" si="0"/>
        <v>1.013592217081734</v>
      </c>
    </row>
    <row r="62" spans="1:3" x14ac:dyDescent="0.15">
      <c r="A62" s="22">
        <v>41218</v>
      </c>
      <c r="B62">
        <v>2476.94</v>
      </c>
      <c r="C62">
        <f t="shared" si="0"/>
        <v>1.0159054368868328</v>
      </c>
    </row>
    <row r="63" spans="1:3" x14ac:dyDescent="0.15">
      <c r="A63" s="22">
        <v>41219</v>
      </c>
      <c r="B63">
        <v>2496.46</v>
      </c>
      <c r="C63">
        <f t="shared" si="0"/>
        <v>1.0239114742264659</v>
      </c>
    </row>
    <row r="64" spans="1:3" x14ac:dyDescent="0.15">
      <c r="A64" s="22">
        <v>41220</v>
      </c>
      <c r="B64">
        <v>2439.48</v>
      </c>
      <c r="C64">
        <f t="shared" si="0"/>
        <v>1.0005413918692785</v>
      </c>
    </row>
    <row r="65" spans="1:3" x14ac:dyDescent="0.15">
      <c r="A65" s="22">
        <v>41221</v>
      </c>
      <c r="B65">
        <v>2409.7199999999998</v>
      </c>
      <c r="C65">
        <f t="shared" si="0"/>
        <v>0.98833546608918199</v>
      </c>
    </row>
    <row r="66" spans="1:3" x14ac:dyDescent="0.15">
      <c r="A66" s="22">
        <v>41222</v>
      </c>
      <c r="B66">
        <v>2413.92</v>
      </c>
      <c r="C66">
        <f t="shared" ref="C66:C129" si="1">(B66 / $B$2)</f>
        <v>0.99005807658234091</v>
      </c>
    </row>
    <row r="67" spans="1:3" x14ac:dyDescent="0.15">
      <c r="A67" s="22">
        <v>41225</v>
      </c>
      <c r="B67">
        <v>2414.2399999999998</v>
      </c>
      <c r="C67">
        <f t="shared" si="1"/>
        <v>0.99018932309610519</v>
      </c>
    </row>
    <row r="68" spans="1:3" x14ac:dyDescent="0.15">
      <c r="A68" s="22">
        <v>41226</v>
      </c>
      <c r="B68">
        <v>2405.38</v>
      </c>
      <c r="C68">
        <f t="shared" si="1"/>
        <v>0.98655543524625133</v>
      </c>
    </row>
    <row r="69" spans="1:3" x14ac:dyDescent="0.15">
      <c r="A69" s="22">
        <v>41227</v>
      </c>
      <c r="B69">
        <v>2372.94</v>
      </c>
      <c r="C69">
        <f t="shared" si="1"/>
        <v>0.9732503199133774</v>
      </c>
    </row>
    <row r="70" spans="1:3" x14ac:dyDescent="0.15">
      <c r="A70" s="22">
        <v>41228</v>
      </c>
      <c r="B70">
        <v>2369.3200000000002</v>
      </c>
      <c r="C70">
        <f t="shared" si="1"/>
        <v>0.9717655937264168</v>
      </c>
    </row>
    <row r="71" spans="1:3" x14ac:dyDescent="0.15">
      <c r="A71" s="22">
        <v>41229</v>
      </c>
      <c r="B71">
        <v>2381.02</v>
      </c>
      <c r="C71">
        <f t="shared" si="1"/>
        <v>0.9765642943859304</v>
      </c>
    </row>
    <row r="72" spans="1:3" x14ac:dyDescent="0.15">
      <c r="A72" s="22">
        <v>41232</v>
      </c>
      <c r="B72">
        <v>2428.4699999999998</v>
      </c>
      <c r="C72">
        <f t="shared" si="1"/>
        <v>0.99602569150506937</v>
      </c>
    </row>
    <row r="73" spans="1:3" x14ac:dyDescent="0.15">
      <c r="A73" s="22">
        <v>41233</v>
      </c>
      <c r="B73">
        <v>2430.29</v>
      </c>
      <c r="C73">
        <f t="shared" si="1"/>
        <v>0.9967721560521049</v>
      </c>
    </row>
    <row r="74" spans="1:3" x14ac:dyDescent="0.15">
      <c r="A74" s="22">
        <v>41234</v>
      </c>
      <c r="B74">
        <v>2435.9699999999998</v>
      </c>
      <c r="C74">
        <f t="shared" si="1"/>
        <v>0.99910178167142438</v>
      </c>
    </row>
    <row r="75" spans="1:3" x14ac:dyDescent="0.15">
      <c r="A75" s="22">
        <v>41236</v>
      </c>
      <c r="B75">
        <v>2468.06</v>
      </c>
      <c r="C75">
        <f t="shared" si="1"/>
        <v>1.0122633461298685</v>
      </c>
    </row>
    <row r="76" spans="1:3" x14ac:dyDescent="0.15">
      <c r="A76" s="22">
        <v>41239</v>
      </c>
      <c r="B76">
        <v>2463.12</v>
      </c>
      <c r="C76">
        <f t="shared" si="1"/>
        <v>1.0102372280736294</v>
      </c>
    </row>
    <row r="77" spans="1:3" x14ac:dyDescent="0.15">
      <c r="A77" s="22">
        <v>41240</v>
      </c>
      <c r="B77">
        <v>2450.48</v>
      </c>
      <c r="C77">
        <f t="shared" si="1"/>
        <v>1.0050529907799324</v>
      </c>
    </row>
    <row r="78" spans="1:3" x14ac:dyDescent="0.15">
      <c r="A78" s="22">
        <v>41241</v>
      </c>
      <c r="B78">
        <v>2470.4699999999998</v>
      </c>
      <c r="C78">
        <f t="shared" si="1"/>
        <v>1.0132517964366572</v>
      </c>
    </row>
    <row r="79" spans="1:3" x14ac:dyDescent="0.15">
      <c r="A79" s="22">
        <v>41242</v>
      </c>
      <c r="B79">
        <v>2481.42</v>
      </c>
      <c r="C79">
        <f t="shared" si="1"/>
        <v>1.0177428880795354</v>
      </c>
    </row>
    <row r="80" spans="1:3" x14ac:dyDescent="0.15">
      <c r="A80" s="22">
        <v>41243</v>
      </c>
      <c r="B80">
        <v>2481.8200000000002</v>
      </c>
      <c r="C80">
        <f t="shared" si="1"/>
        <v>1.0179069462217412</v>
      </c>
    </row>
    <row r="81" spans="1:3" x14ac:dyDescent="0.15">
      <c r="A81" s="22">
        <v>41246</v>
      </c>
      <c r="B81">
        <v>2470.0700000000002</v>
      </c>
      <c r="C81">
        <f t="shared" si="1"/>
        <v>1.0130877382944516</v>
      </c>
    </row>
    <row r="82" spans="1:3" x14ac:dyDescent="0.15">
      <c r="A82" s="22">
        <v>41247</v>
      </c>
      <c r="B82">
        <v>2465.9</v>
      </c>
      <c r="C82">
        <f t="shared" si="1"/>
        <v>1.0113774321619582</v>
      </c>
    </row>
    <row r="83" spans="1:3" x14ac:dyDescent="0.15">
      <c r="A83" s="22">
        <v>41248</v>
      </c>
      <c r="B83">
        <v>2470.59</v>
      </c>
      <c r="C83">
        <f t="shared" si="1"/>
        <v>1.013301013879319</v>
      </c>
    </row>
    <row r="84" spans="1:3" x14ac:dyDescent="0.15">
      <c r="A84" s="22">
        <v>41249</v>
      </c>
      <c r="B84">
        <v>2479.4</v>
      </c>
      <c r="C84">
        <f t="shared" si="1"/>
        <v>1.0169143944613972</v>
      </c>
    </row>
    <row r="85" spans="1:3" x14ac:dyDescent="0.15">
      <c r="A85" s="22">
        <v>41250</v>
      </c>
      <c r="B85">
        <v>2486.84</v>
      </c>
      <c r="C85">
        <f t="shared" si="1"/>
        <v>1.0199658759064214</v>
      </c>
    </row>
    <row r="86" spans="1:3" x14ac:dyDescent="0.15">
      <c r="A86" s="22">
        <v>41253</v>
      </c>
      <c r="B86">
        <v>2487.7800000000002</v>
      </c>
      <c r="C86">
        <f t="shared" si="1"/>
        <v>1.0203514125406046</v>
      </c>
    </row>
    <row r="87" spans="1:3" x14ac:dyDescent="0.15">
      <c r="A87" s="22">
        <v>41254</v>
      </c>
      <c r="B87">
        <v>2504.08</v>
      </c>
      <c r="C87">
        <f t="shared" si="1"/>
        <v>1.0270367818354826</v>
      </c>
    </row>
    <row r="88" spans="1:3" x14ac:dyDescent="0.15">
      <c r="A88" s="22">
        <v>41255</v>
      </c>
      <c r="B88">
        <v>2505.7600000000002</v>
      </c>
      <c r="C88">
        <f t="shared" si="1"/>
        <v>1.0277258260327462</v>
      </c>
    </row>
    <row r="89" spans="1:3" x14ac:dyDescent="0.15">
      <c r="A89" s="22">
        <v>41256</v>
      </c>
      <c r="B89">
        <v>2490.56</v>
      </c>
      <c r="C89">
        <f t="shared" si="1"/>
        <v>1.0214916166289334</v>
      </c>
    </row>
    <row r="90" spans="1:3" x14ac:dyDescent="0.15">
      <c r="A90" s="22">
        <v>41257</v>
      </c>
      <c r="B90">
        <v>2480.36</v>
      </c>
      <c r="C90">
        <f t="shared" si="1"/>
        <v>1.0173081340026906</v>
      </c>
    </row>
    <row r="91" spans="1:3" x14ac:dyDescent="0.15">
      <c r="A91" s="22">
        <v>41260</v>
      </c>
      <c r="B91">
        <v>2509.84</v>
      </c>
      <c r="C91">
        <f t="shared" si="1"/>
        <v>1.0293992190832433</v>
      </c>
    </row>
    <row r="92" spans="1:3" x14ac:dyDescent="0.15">
      <c r="A92" s="22">
        <v>41261</v>
      </c>
      <c r="B92">
        <v>2538.7199999999998</v>
      </c>
      <c r="C92">
        <f t="shared" si="1"/>
        <v>1.0412442169504872</v>
      </c>
    </row>
    <row r="93" spans="1:3" x14ac:dyDescent="0.15">
      <c r="A93" s="22">
        <v>41262</v>
      </c>
      <c r="B93">
        <v>2519.54</v>
      </c>
      <c r="C93">
        <f t="shared" si="1"/>
        <v>1.0333776290317289</v>
      </c>
    </row>
    <row r="94" spans="1:3" x14ac:dyDescent="0.15">
      <c r="A94" s="22">
        <v>41263</v>
      </c>
      <c r="B94">
        <v>2533.91</v>
      </c>
      <c r="C94">
        <f t="shared" si="1"/>
        <v>1.0392714177904649</v>
      </c>
    </row>
    <row r="95" spans="1:3" x14ac:dyDescent="0.15">
      <c r="A95" s="22">
        <v>41264</v>
      </c>
      <c r="B95">
        <v>2510.3200000000002</v>
      </c>
      <c r="C95">
        <f t="shared" si="1"/>
        <v>1.02959608885389</v>
      </c>
    </row>
    <row r="96" spans="1:3" x14ac:dyDescent="0.15">
      <c r="A96" s="22">
        <v>41267</v>
      </c>
      <c r="B96">
        <v>2504.5100000000002</v>
      </c>
      <c r="C96">
        <f t="shared" si="1"/>
        <v>1.0272131443383536</v>
      </c>
    </row>
    <row r="97" spans="1:3" x14ac:dyDescent="0.15">
      <c r="A97" s="22">
        <v>41269</v>
      </c>
      <c r="B97">
        <v>2492.54</v>
      </c>
      <c r="C97">
        <f t="shared" si="1"/>
        <v>1.0223037044328511</v>
      </c>
    </row>
    <row r="98" spans="1:3" x14ac:dyDescent="0.15">
      <c r="A98" s="22">
        <v>41270</v>
      </c>
      <c r="B98">
        <v>2489.9699999999998</v>
      </c>
      <c r="C98">
        <f t="shared" si="1"/>
        <v>1.0212496308691801</v>
      </c>
    </row>
    <row r="99" spans="1:3" x14ac:dyDescent="0.15">
      <c r="A99" s="22">
        <v>41271</v>
      </c>
      <c r="B99">
        <v>2462.71</v>
      </c>
      <c r="C99">
        <f t="shared" si="1"/>
        <v>1.0100690684778686</v>
      </c>
    </row>
    <row r="100" spans="1:3" x14ac:dyDescent="0.15">
      <c r="A100" s="22">
        <v>41274</v>
      </c>
      <c r="B100">
        <v>2504.44</v>
      </c>
      <c r="C100">
        <f t="shared" si="1"/>
        <v>1.0271844341634677</v>
      </c>
    </row>
    <row r="101" spans="1:3" x14ac:dyDescent="0.15">
      <c r="A101" s="22">
        <v>41276</v>
      </c>
      <c r="B101">
        <v>2568.5500000000002</v>
      </c>
      <c r="C101">
        <f t="shared" si="1"/>
        <v>1.0534788529054699</v>
      </c>
    </row>
    <row r="102" spans="1:3" x14ac:dyDescent="0.15">
      <c r="A102" s="22">
        <v>41277</v>
      </c>
      <c r="B102">
        <v>2563.19</v>
      </c>
      <c r="C102">
        <f t="shared" si="1"/>
        <v>1.0512804737999148</v>
      </c>
    </row>
    <row r="103" spans="1:3" x14ac:dyDescent="0.15">
      <c r="A103" s="22">
        <v>41278</v>
      </c>
      <c r="B103">
        <v>2575.66</v>
      </c>
      <c r="C103">
        <f t="shared" si="1"/>
        <v>1.0563949863831743</v>
      </c>
    </row>
    <row r="104" spans="1:3" x14ac:dyDescent="0.15">
      <c r="A104" s="22">
        <v>41281</v>
      </c>
      <c r="B104">
        <v>2567.63</v>
      </c>
      <c r="C104">
        <f t="shared" si="1"/>
        <v>1.053101519178397</v>
      </c>
    </row>
    <row r="105" spans="1:3" x14ac:dyDescent="0.15">
      <c r="A105" s="22">
        <v>41282</v>
      </c>
      <c r="B105">
        <v>2560.17</v>
      </c>
      <c r="C105">
        <f t="shared" si="1"/>
        <v>1.0500418348262626</v>
      </c>
    </row>
    <row r="106" spans="1:3" x14ac:dyDescent="0.15">
      <c r="A106" s="22">
        <v>41283</v>
      </c>
      <c r="B106">
        <v>2567.02</v>
      </c>
      <c r="C106">
        <f t="shared" si="1"/>
        <v>1.0528513305115332</v>
      </c>
    </row>
    <row r="107" spans="1:3" x14ac:dyDescent="0.15">
      <c r="A107" s="22">
        <v>41284</v>
      </c>
      <c r="B107">
        <v>2586.52</v>
      </c>
      <c r="C107">
        <f t="shared" si="1"/>
        <v>1.0608491649440561</v>
      </c>
    </row>
    <row r="108" spans="1:3" x14ac:dyDescent="0.15">
      <c r="A108" s="22">
        <v>41285</v>
      </c>
      <c r="B108">
        <v>2586.69</v>
      </c>
      <c r="C108">
        <f t="shared" si="1"/>
        <v>1.0609188896544937</v>
      </c>
    </row>
    <row r="109" spans="1:3" x14ac:dyDescent="0.15">
      <c r="A109" s="22">
        <v>41288</v>
      </c>
      <c r="B109">
        <v>2584.27</v>
      </c>
      <c r="C109">
        <f t="shared" si="1"/>
        <v>1.0599263378941497</v>
      </c>
    </row>
    <row r="110" spans="1:3" x14ac:dyDescent="0.15">
      <c r="A110" s="22">
        <v>41289</v>
      </c>
      <c r="B110">
        <v>2587.1999999999998</v>
      </c>
      <c r="C110">
        <f t="shared" si="1"/>
        <v>1.0611280637858056</v>
      </c>
    </row>
    <row r="111" spans="1:3" x14ac:dyDescent="0.15">
      <c r="A111" s="22">
        <v>41290</v>
      </c>
      <c r="B111">
        <v>2588.02</v>
      </c>
      <c r="C111">
        <f t="shared" si="1"/>
        <v>1.0614643829773271</v>
      </c>
    </row>
    <row r="112" spans="1:3" x14ac:dyDescent="0.15">
      <c r="A112" s="22">
        <v>41291</v>
      </c>
      <c r="B112">
        <v>2602.64</v>
      </c>
      <c r="C112">
        <f t="shared" si="1"/>
        <v>1.0674607080749419</v>
      </c>
    </row>
    <row r="113" spans="1:3" x14ac:dyDescent="0.15">
      <c r="A113" s="22">
        <v>41292</v>
      </c>
      <c r="B113">
        <v>2611.54</v>
      </c>
      <c r="C113">
        <f t="shared" si="1"/>
        <v>1.0711110017390164</v>
      </c>
    </row>
    <row r="114" spans="1:3" x14ac:dyDescent="0.15">
      <c r="A114" s="22">
        <v>41296</v>
      </c>
      <c r="B114">
        <v>2623.22</v>
      </c>
      <c r="C114">
        <f t="shared" si="1"/>
        <v>1.0759014994914198</v>
      </c>
    </row>
    <row r="115" spans="1:3" x14ac:dyDescent="0.15">
      <c r="A115" s="22">
        <v>41297</v>
      </c>
      <c r="B115">
        <v>2627.23</v>
      </c>
      <c r="C115">
        <f t="shared" si="1"/>
        <v>1.0775461823670309</v>
      </c>
    </row>
    <row r="116" spans="1:3" x14ac:dyDescent="0.15">
      <c r="A116" s="22">
        <v>41298</v>
      </c>
      <c r="B116">
        <v>2627.33</v>
      </c>
      <c r="C116">
        <f t="shared" si="1"/>
        <v>1.0775871969025823</v>
      </c>
    </row>
    <row r="117" spans="1:3" x14ac:dyDescent="0.15">
      <c r="A117" s="22">
        <v>41299</v>
      </c>
      <c r="B117">
        <v>2641.64</v>
      </c>
      <c r="C117">
        <f t="shared" si="1"/>
        <v>1.0834563769399876</v>
      </c>
    </row>
    <row r="118" spans="1:3" x14ac:dyDescent="0.15">
      <c r="A118" s="22">
        <v>41302</v>
      </c>
      <c r="B118">
        <v>2636.83</v>
      </c>
      <c r="C118">
        <f t="shared" si="1"/>
        <v>1.0814835777799652</v>
      </c>
    </row>
    <row r="119" spans="1:3" x14ac:dyDescent="0.15">
      <c r="A119" s="22">
        <v>41303</v>
      </c>
      <c r="B119">
        <v>2650.43</v>
      </c>
      <c r="C119">
        <f t="shared" si="1"/>
        <v>1.0870615546149556</v>
      </c>
    </row>
    <row r="120" spans="1:3" x14ac:dyDescent="0.15">
      <c r="A120" s="22">
        <v>41304</v>
      </c>
      <c r="B120">
        <v>2640.77</v>
      </c>
      <c r="C120">
        <f t="shared" si="1"/>
        <v>1.0830995504806904</v>
      </c>
    </row>
    <row r="121" spans="1:3" x14ac:dyDescent="0.15">
      <c r="A121" s="22">
        <v>41305</v>
      </c>
      <c r="B121">
        <v>2634.16</v>
      </c>
      <c r="C121">
        <f t="shared" si="1"/>
        <v>1.080388489680743</v>
      </c>
    </row>
    <row r="122" spans="1:3" x14ac:dyDescent="0.15">
      <c r="A122" s="22">
        <v>41306</v>
      </c>
      <c r="B122">
        <v>2660.7</v>
      </c>
      <c r="C122">
        <f t="shared" si="1"/>
        <v>1.0912737474160843</v>
      </c>
    </row>
    <row r="123" spans="1:3" x14ac:dyDescent="0.15">
      <c r="A123" s="22">
        <v>41309</v>
      </c>
      <c r="B123">
        <v>2630.05</v>
      </c>
      <c r="C123">
        <f t="shared" si="1"/>
        <v>1.0787027922695804</v>
      </c>
    </row>
    <row r="124" spans="1:3" x14ac:dyDescent="0.15">
      <c r="A124" s="22">
        <v>41310</v>
      </c>
      <c r="B124">
        <v>2657.76</v>
      </c>
      <c r="C124">
        <f t="shared" si="1"/>
        <v>1.0900679200708732</v>
      </c>
    </row>
    <row r="125" spans="1:3" x14ac:dyDescent="0.15">
      <c r="A125" s="22">
        <v>41311</v>
      </c>
      <c r="B125">
        <v>2659.55</v>
      </c>
      <c r="C125">
        <f t="shared" si="1"/>
        <v>1.0908020802572433</v>
      </c>
    </row>
    <row r="126" spans="1:3" x14ac:dyDescent="0.15">
      <c r="A126" s="22">
        <v>41312</v>
      </c>
      <c r="B126">
        <v>2655.84</v>
      </c>
      <c r="C126">
        <f t="shared" si="1"/>
        <v>1.0892804409882864</v>
      </c>
    </row>
    <row r="127" spans="1:3" x14ac:dyDescent="0.15">
      <c r="A127" s="22">
        <v>41313</v>
      </c>
      <c r="B127">
        <v>2670.85</v>
      </c>
      <c r="C127">
        <f t="shared" si="1"/>
        <v>1.0954367227745514</v>
      </c>
    </row>
    <row r="128" spans="1:3" x14ac:dyDescent="0.15">
      <c r="A128" s="22">
        <v>41316</v>
      </c>
      <c r="B128">
        <v>2669.37</v>
      </c>
      <c r="C128">
        <f t="shared" si="1"/>
        <v>1.0948297076483906</v>
      </c>
    </row>
    <row r="129" spans="1:3" x14ac:dyDescent="0.15">
      <c r="A129" s="22">
        <v>41317</v>
      </c>
      <c r="B129">
        <v>2673.77</v>
      </c>
      <c r="C129">
        <f t="shared" si="1"/>
        <v>1.0966343472126523</v>
      </c>
    </row>
    <row r="130" spans="1:3" x14ac:dyDescent="0.15">
      <c r="A130" s="22">
        <v>41318</v>
      </c>
      <c r="B130">
        <v>2676.6</v>
      </c>
      <c r="C130">
        <f t="shared" ref="C130:C193" si="2">(B130 / $B$2)</f>
        <v>1.0977950585687568</v>
      </c>
    </row>
    <row r="131" spans="1:3" x14ac:dyDescent="0.15">
      <c r="A131" s="22">
        <v>41319</v>
      </c>
      <c r="B131">
        <v>2678.77</v>
      </c>
      <c r="C131">
        <f t="shared" si="2"/>
        <v>1.0986850739902221</v>
      </c>
    </row>
    <row r="132" spans="1:3" x14ac:dyDescent="0.15">
      <c r="A132" s="22">
        <v>41320</v>
      </c>
      <c r="B132">
        <v>2676.21</v>
      </c>
      <c r="C132">
        <f t="shared" si="2"/>
        <v>1.0976351018801065</v>
      </c>
    </row>
    <row r="133" spans="1:3" x14ac:dyDescent="0.15">
      <c r="A133" s="22">
        <v>41324</v>
      </c>
      <c r="B133">
        <v>2696.26</v>
      </c>
      <c r="C133">
        <f t="shared" si="2"/>
        <v>1.105858516258162</v>
      </c>
    </row>
    <row r="134" spans="1:3" x14ac:dyDescent="0.15">
      <c r="A134" s="22">
        <v>41325</v>
      </c>
      <c r="B134">
        <v>2662.94</v>
      </c>
      <c r="C134">
        <f t="shared" si="2"/>
        <v>1.0921924730124357</v>
      </c>
    </row>
    <row r="135" spans="1:3" x14ac:dyDescent="0.15">
      <c r="A135" s="22">
        <v>41326</v>
      </c>
      <c r="B135">
        <v>2646.75</v>
      </c>
      <c r="C135">
        <f t="shared" si="2"/>
        <v>1.085552219706664</v>
      </c>
    </row>
    <row r="136" spans="1:3" x14ac:dyDescent="0.15">
      <c r="A136" s="22">
        <v>41327</v>
      </c>
      <c r="B136">
        <v>2670.36</v>
      </c>
      <c r="C136">
        <f t="shared" si="2"/>
        <v>1.0952357515503495</v>
      </c>
    </row>
    <row r="137" spans="1:3" x14ac:dyDescent="0.15">
      <c r="A137" s="22">
        <v>41330</v>
      </c>
      <c r="B137">
        <v>2621.46</v>
      </c>
      <c r="C137">
        <f t="shared" si="2"/>
        <v>1.0751796436657153</v>
      </c>
    </row>
    <row r="138" spans="1:3" x14ac:dyDescent="0.15">
      <c r="A138" s="22">
        <v>41331</v>
      </c>
      <c r="B138">
        <v>2637.89</v>
      </c>
      <c r="C138">
        <f t="shared" si="2"/>
        <v>1.08191833185681</v>
      </c>
    </row>
    <row r="139" spans="1:3" x14ac:dyDescent="0.15">
      <c r="A139" s="22">
        <v>41332</v>
      </c>
      <c r="B139">
        <v>2672.11</v>
      </c>
      <c r="C139">
        <f t="shared" si="2"/>
        <v>1.095953505922499</v>
      </c>
    </row>
    <row r="140" spans="1:3" x14ac:dyDescent="0.15">
      <c r="A140" s="22">
        <v>41333</v>
      </c>
      <c r="B140">
        <v>2669.92</v>
      </c>
      <c r="C140">
        <f t="shared" si="2"/>
        <v>1.0950552875939235</v>
      </c>
    </row>
    <row r="141" spans="1:3" x14ac:dyDescent="0.15">
      <c r="A141" s="22">
        <v>41334</v>
      </c>
      <c r="B141">
        <v>2676.18</v>
      </c>
      <c r="C141">
        <f t="shared" si="2"/>
        <v>1.0976227975194408</v>
      </c>
    </row>
    <row r="142" spans="1:3" x14ac:dyDescent="0.15">
      <c r="A142" s="22">
        <v>41337</v>
      </c>
      <c r="B142">
        <v>2688.54</v>
      </c>
      <c r="C142">
        <f t="shared" si="2"/>
        <v>1.1026921941135939</v>
      </c>
    </row>
    <row r="143" spans="1:3" x14ac:dyDescent="0.15">
      <c r="A143" s="22">
        <v>41338</v>
      </c>
      <c r="B143">
        <v>2714.35</v>
      </c>
      <c r="C143">
        <f t="shared" si="2"/>
        <v>1.11327804573941</v>
      </c>
    </row>
    <row r="144" spans="1:3" x14ac:dyDescent="0.15">
      <c r="A144" s="22">
        <v>41339</v>
      </c>
      <c r="B144">
        <v>2718.07</v>
      </c>
      <c r="C144">
        <f t="shared" si="2"/>
        <v>1.1148037864619222</v>
      </c>
    </row>
    <row r="145" spans="1:3" x14ac:dyDescent="0.15">
      <c r="A145" s="22">
        <v>41340</v>
      </c>
      <c r="B145">
        <v>2723.27</v>
      </c>
      <c r="C145">
        <f t="shared" si="2"/>
        <v>1.116936542310595</v>
      </c>
    </row>
    <row r="146" spans="1:3" x14ac:dyDescent="0.15">
      <c r="A146" s="22">
        <v>41341</v>
      </c>
      <c r="B146">
        <v>2735.67</v>
      </c>
      <c r="C146">
        <f t="shared" si="2"/>
        <v>1.1220223447189686</v>
      </c>
    </row>
    <row r="147" spans="1:3" x14ac:dyDescent="0.15">
      <c r="A147" s="22">
        <v>41344</v>
      </c>
      <c r="B147">
        <v>2744.81</v>
      </c>
      <c r="C147">
        <f t="shared" si="2"/>
        <v>1.1257710732683663</v>
      </c>
    </row>
    <row r="148" spans="1:3" x14ac:dyDescent="0.15">
      <c r="A148" s="22">
        <v>41345</v>
      </c>
      <c r="B148">
        <v>2738.35</v>
      </c>
      <c r="C148">
        <f t="shared" si="2"/>
        <v>1.123121534271746</v>
      </c>
    </row>
    <row r="149" spans="1:3" x14ac:dyDescent="0.15">
      <c r="A149" s="22">
        <v>41346</v>
      </c>
      <c r="B149">
        <v>2742.87</v>
      </c>
      <c r="C149">
        <f t="shared" si="2"/>
        <v>1.1249753912786691</v>
      </c>
    </row>
    <row r="150" spans="1:3" x14ac:dyDescent="0.15">
      <c r="A150" s="22">
        <v>41347</v>
      </c>
      <c r="B150">
        <v>2758.3</v>
      </c>
      <c r="C150">
        <f t="shared" si="2"/>
        <v>1.1313039341142503</v>
      </c>
    </row>
    <row r="151" spans="1:3" x14ac:dyDescent="0.15">
      <c r="A151" s="22">
        <v>41348</v>
      </c>
      <c r="B151">
        <v>2753.82</v>
      </c>
      <c r="C151">
        <f t="shared" si="2"/>
        <v>1.1294664829215475</v>
      </c>
    </row>
    <row r="152" spans="1:3" x14ac:dyDescent="0.15">
      <c r="A152" s="22">
        <v>41351</v>
      </c>
      <c r="B152">
        <v>2738.68</v>
      </c>
      <c r="C152">
        <f t="shared" si="2"/>
        <v>1.1232568822390656</v>
      </c>
    </row>
    <row r="153" spans="1:3" x14ac:dyDescent="0.15">
      <c r="A153" s="22">
        <v>41352</v>
      </c>
      <c r="B153">
        <v>2732.09</v>
      </c>
      <c r="C153">
        <f t="shared" si="2"/>
        <v>1.1205540243462284</v>
      </c>
    </row>
    <row r="154" spans="1:3" x14ac:dyDescent="0.15">
      <c r="A154" s="22">
        <v>41353</v>
      </c>
      <c r="B154">
        <v>2750.42</v>
      </c>
      <c r="C154">
        <f t="shared" si="2"/>
        <v>1.1280719887127999</v>
      </c>
    </row>
    <row r="155" spans="1:3" x14ac:dyDescent="0.15">
      <c r="A155" s="22">
        <v>41354</v>
      </c>
      <c r="B155">
        <v>2727.69</v>
      </c>
      <c r="C155">
        <f t="shared" si="2"/>
        <v>1.1187493847819667</v>
      </c>
    </row>
    <row r="156" spans="1:3" x14ac:dyDescent="0.15">
      <c r="A156" s="22">
        <v>41355</v>
      </c>
      <c r="B156">
        <v>2747.25</v>
      </c>
      <c r="C156">
        <f t="shared" si="2"/>
        <v>1.1267718279358205</v>
      </c>
    </row>
    <row r="157" spans="1:3" x14ac:dyDescent="0.15">
      <c r="A157" s="22">
        <v>41358</v>
      </c>
      <c r="B157">
        <v>2738.08</v>
      </c>
      <c r="C157">
        <f t="shared" si="2"/>
        <v>1.1230107950257571</v>
      </c>
    </row>
    <row r="158" spans="1:3" x14ac:dyDescent="0.15">
      <c r="A158" s="22">
        <v>41359</v>
      </c>
      <c r="B158">
        <v>2760.32</v>
      </c>
      <c r="C158">
        <f t="shared" si="2"/>
        <v>1.1321324277323885</v>
      </c>
    </row>
    <row r="159" spans="1:3" x14ac:dyDescent="0.15">
      <c r="A159" s="22">
        <v>41360</v>
      </c>
      <c r="B159">
        <v>2758.85</v>
      </c>
      <c r="C159">
        <f t="shared" si="2"/>
        <v>1.1315295140597827</v>
      </c>
    </row>
    <row r="160" spans="1:3" x14ac:dyDescent="0.15">
      <c r="A160" s="22">
        <v>41361</v>
      </c>
      <c r="B160">
        <v>2770.05</v>
      </c>
      <c r="C160">
        <f t="shared" si="2"/>
        <v>1.1361231420415396</v>
      </c>
    </row>
    <row r="161" spans="1:3" x14ac:dyDescent="0.15">
      <c r="A161" s="22">
        <v>41365</v>
      </c>
      <c r="B161">
        <v>2757.83</v>
      </c>
      <c r="C161">
        <f t="shared" si="2"/>
        <v>1.1311111657971586</v>
      </c>
    </row>
    <row r="162" spans="1:3" x14ac:dyDescent="0.15">
      <c r="A162" s="22">
        <v>41366</v>
      </c>
      <c r="B162">
        <v>2772.11</v>
      </c>
      <c r="C162">
        <f t="shared" si="2"/>
        <v>1.1369680414738985</v>
      </c>
    </row>
    <row r="163" spans="1:3" x14ac:dyDescent="0.15">
      <c r="A163" s="22">
        <v>41367</v>
      </c>
      <c r="B163">
        <v>2743.38</v>
      </c>
      <c r="C163">
        <f t="shared" si="2"/>
        <v>1.1251845654099815</v>
      </c>
    </row>
    <row r="164" spans="1:3" x14ac:dyDescent="0.15">
      <c r="A164" s="22">
        <v>41368</v>
      </c>
      <c r="B164">
        <v>2754.67</v>
      </c>
      <c r="C164">
        <f t="shared" si="2"/>
        <v>1.1298151064737343</v>
      </c>
    </row>
    <row r="165" spans="1:3" x14ac:dyDescent="0.15">
      <c r="A165" s="22">
        <v>41369</v>
      </c>
      <c r="B165">
        <v>2742.86</v>
      </c>
      <c r="C165">
        <f t="shared" si="2"/>
        <v>1.1249712898251141</v>
      </c>
    </row>
    <row r="166" spans="1:3" x14ac:dyDescent="0.15">
      <c r="A166" s="22">
        <v>41372</v>
      </c>
      <c r="B166">
        <v>2761.05</v>
      </c>
      <c r="C166">
        <f t="shared" si="2"/>
        <v>1.1324318338419137</v>
      </c>
    </row>
    <row r="167" spans="1:3" x14ac:dyDescent="0.15">
      <c r="A167" s="22">
        <v>41373</v>
      </c>
      <c r="B167">
        <v>2770.84</v>
      </c>
      <c r="C167">
        <f t="shared" si="2"/>
        <v>1.1364471568723957</v>
      </c>
    </row>
    <row r="168" spans="1:3" x14ac:dyDescent="0.15">
      <c r="A168" s="22">
        <v>41374</v>
      </c>
      <c r="B168">
        <v>2804.81</v>
      </c>
      <c r="C168">
        <f t="shared" si="2"/>
        <v>1.150379794599206</v>
      </c>
    </row>
    <row r="169" spans="1:3" x14ac:dyDescent="0.15">
      <c r="A169" s="22">
        <v>41375</v>
      </c>
      <c r="B169">
        <v>2815.02</v>
      </c>
      <c r="C169">
        <f t="shared" si="2"/>
        <v>1.1545673786790038</v>
      </c>
    </row>
    <row r="170" spans="1:3" x14ac:dyDescent="0.15">
      <c r="A170" s="22">
        <v>41376</v>
      </c>
      <c r="B170">
        <v>2807.1</v>
      </c>
      <c r="C170">
        <f t="shared" si="2"/>
        <v>1.1513190274633331</v>
      </c>
    </row>
    <row r="171" spans="1:3" x14ac:dyDescent="0.15">
      <c r="A171" s="22">
        <v>41379</v>
      </c>
      <c r="B171">
        <v>2742.63</v>
      </c>
      <c r="C171">
        <f t="shared" si="2"/>
        <v>1.1248769563933458</v>
      </c>
    </row>
    <row r="172" spans="1:3" x14ac:dyDescent="0.15">
      <c r="A172" s="22">
        <v>41380</v>
      </c>
      <c r="B172">
        <v>2781.86</v>
      </c>
      <c r="C172">
        <f t="shared" si="2"/>
        <v>1.1409669586901598</v>
      </c>
    </row>
    <row r="173" spans="1:3" x14ac:dyDescent="0.15">
      <c r="A173" s="22">
        <v>41381</v>
      </c>
      <c r="B173">
        <v>2742.01</v>
      </c>
      <c r="C173">
        <f t="shared" si="2"/>
        <v>1.1246226662729273</v>
      </c>
    </row>
    <row r="174" spans="1:3" x14ac:dyDescent="0.15">
      <c r="A174" s="22">
        <v>41382</v>
      </c>
      <c r="B174">
        <v>2723.72</v>
      </c>
      <c r="C174">
        <f t="shared" si="2"/>
        <v>1.1171211077205763</v>
      </c>
    </row>
    <row r="175" spans="1:3" x14ac:dyDescent="0.15">
      <c r="A175" s="22">
        <v>41383</v>
      </c>
      <c r="B175">
        <v>2747.94</v>
      </c>
      <c r="C175">
        <f t="shared" si="2"/>
        <v>1.1270548282311252</v>
      </c>
    </row>
    <row r="176" spans="1:3" x14ac:dyDescent="0.15">
      <c r="A176" s="22">
        <v>41386</v>
      </c>
      <c r="B176">
        <v>2760.8</v>
      </c>
      <c r="C176">
        <f t="shared" si="2"/>
        <v>1.1323292975030352</v>
      </c>
    </row>
    <row r="177" spans="1:3" x14ac:dyDescent="0.15">
      <c r="A177" s="22">
        <v>41387</v>
      </c>
      <c r="B177">
        <v>2789.56</v>
      </c>
      <c r="C177">
        <f t="shared" si="2"/>
        <v>1.1441250779276175</v>
      </c>
    </row>
    <row r="178" spans="1:3" x14ac:dyDescent="0.15">
      <c r="A178" s="22">
        <v>41388</v>
      </c>
      <c r="B178">
        <v>2789.93</v>
      </c>
      <c r="C178">
        <f t="shared" si="2"/>
        <v>1.1442768317091576</v>
      </c>
    </row>
    <row r="179" spans="1:3" x14ac:dyDescent="0.15">
      <c r="A179" s="22">
        <v>41389</v>
      </c>
      <c r="B179">
        <v>2801.28</v>
      </c>
      <c r="C179">
        <f t="shared" si="2"/>
        <v>1.1489319814942418</v>
      </c>
    </row>
    <row r="180" spans="1:3" x14ac:dyDescent="0.15">
      <c r="A180" s="22">
        <v>41390</v>
      </c>
      <c r="B180">
        <v>2796.24</v>
      </c>
      <c r="C180">
        <f t="shared" si="2"/>
        <v>1.1468648489024511</v>
      </c>
    </row>
    <row r="181" spans="1:3" x14ac:dyDescent="0.15">
      <c r="A181" s="22">
        <v>41393</v>
      </c>
      <c r="B181">
        <v>2816.39</v>
      </c>
      <c r="C181">
        <f t="shared" si="2"/>
        <v>1.155129277816058</v>
      </c>
    </row>
    <row r="182" spans="1:3" x14ac:dyDescent="0.15">
      <c r="A182" s="22">
        <v>41394</v>
      </c>
      <c r="B182">
        <v>2823.42</v>
      </c>
      <c r="C182">
        <f t="shared" si="2"/>
        <v>1.1580125996653214</v>
      </c>
    </row>
    <row r="183" spans="1:3" x14ac:dyDescent="0.15">
      <c r="A183" s="22">
        <v>41395</v>
      </c>
      <c r="B183">
        <v>2797.28</v>
      </c>
      <c r="C183">
        <f t="shared" si="2"/>
        <v>1.1472914000721857</v>
      </c>
    </row>
    <row r="184" spans="1:3" x14ac:dyDescent="0.15">
      <c r="A184" s="22">
        <v>41396</v>
      </c>
      <c r="B184">
        <v>2823.82</v>
      </c>
      <c r="C184">
        <f t="shared" si="2"/>
        <v>1.1581766578075272</v>
      </c>
    </row>
    <row r="185" spans="1:3" x14ac:dyDescent="0.15">
      <c r="A185" s="22">
        <v>41397</v>
      </c>
      <c r="B185">
        <v>2853.88</v>
      </c>
      <c r="C185">
        <f t="shared" si="2"/>
        <v>1.1705056271942778</v>
      </c>
    </row>
    <row r="186" spans="1:3" x14ac:dyDescent="0.15">
      <c r="A186" s="22">
        <v>41400</v>
      </c>
      <c r="B186">
        <v>2859.34</v>
      </c>
      <c r="C186">
        <f t="shared" si="2"/>
        <v>1.1727450208353842</v>
      </c>
    </row>
    <row r="187" spans="1:3" x14ac:dyDescent="0.15">
      <c r="A187" s="22">
        <v>41401</v>
      </c>
      <c r="B187">
        <v>2874.46</v>
      </c>
      <c r="C187">
        <f t="shared" si="2"/>
        <v>1.1789464186107557</v>
      </c>
    </row>
    <row r="188" spans="1:3" x14ac:dyDescent="0.15">
      <c r="A188" s="22">
        <v>41402</v>
      </c>
      <c r="B188">
        <v>2887.61</v>
      </c>
      <c r="C188">
        <f t="shared" si="2"/>
        <v>1.1843398300357648</v>
      </c>
    </row>
    <row r="189" spans="1:3" x14ac:dyDescent="0.15">
      <c r="A189" s="22">
        <v>41403</v>
      </c>
      <c r="B189">
        <v>2878.3</v>
      </c>
      <c r="C189">
        <f t="shared" si="2"/>
        <v>1.1805213767759295</v>
      </c>
    </row>
    <row r="190" spans="1:3" x14ac:dyDescent="0.15">
      <c r="A190" s="22">
        <v>41404</v>
      </c>
      <c r="B190">
        <v>2890.77</v>
      </c>
      <c r="C190">
        <f t="shared" si="2"/>
        <v>1.185635889359189</v>
      </c>
    </row>
    <row r="191" spans="1:3" x14ac:dyDescent="0.15">
      <c r="A191" s="22">
        <v>41407</v>
      </c>
      <c r="B191">
        <v>2891.17</v>
      </c>
      <c r="C191">
        <f t="shared" si="2"/>
        <v>1.1857999475013945</v>
      </c>
    </row>
    <row r="192" spans="1:3" x14ac:dyDescent="0.15">
      <c r="A192" s="22">
        <v>41408</v>
      </c>
      <c r="B192">
        <v>2921.12</v>
      </c>
      <c r="C192">
        <f t="shared" si="2"/>
        <v>1.1980838008990387</v>
      </c>
    </row>
    <row r="193" spans="1:3" x14ac:dyDescent="0.15">
      <c r="A193" s="22">
        <v>41409</v>
      </c>
      <c r="B193">
        <v>2936.98</v>
      </c>
      <c r="C193">
        <f t="shared" si="2"/>
        <v>1.2045887062374907</v>
      </c>
    </row>
    <row r="194" spans="1:3" x14ac:dyDescent="0.15">
      <c r="A194" s="22">
        <v>41410</v>
      </c>
      <c r="B194">
        <v>2922.4</v>
      </c>
      <c r="C194">
        <f t="shared" ref="C194:C257" si="3">(B194 / $B$2)</f>
        <v>1.1986087869540967</v>
      </c>
    </row>
    <row r="195" spans="1:3" x14ac:dyDescent="0.15">
      <c r="A195" s="22">
        <v>41411</v>
      </c>
      <c r="B195">
        <v>2952.56</v>
      </c>
      <c r="C195">
        <f t="shared" si="3"/>
        <v>1.2109787708763986</v>
      </c>
    </row>
    <row r="196" spans="1:3" x14ac:dyDescent="0.15">
      <c r="A196" s="22">
        <v>41414</v>
      </c>
      <c r="B196">
        <v>2950.53</v>
      </c>
      <c r="C196">
        <f t="shared" si="3"/>
        <v>1.2101461758047054</v>
      </c>
    </row>
    <row r="197" spans="1:3" x14ac:dyDescent="0.15">
      <c r="A197" s="22">
        <v>41415</v>
      </c>
      <c r="B197">
        <v>2955.69</v>
      </c>
      <c r="C197">
        <f t="shared" si="3"/>
        <v>1.2122625258391575</v>
      </c>
    </row>
    <row r="198" spans="1:3" x14ac:dyDescent="0.15">
      <c r="A198" s="22">
        <v>41416</v>
      </c>
      <c r="B198">
        <v>2931.58</v>
      </c>
      <c r="C198">
        <f t="shared" si="3"/>
        <v>1.2023739213177151</v>
      </c>
    </row>
    <row r="199" spans="1:3" x14ac:dyDescent="0.15">
      <c r="A199" s="22">
        <v>41417</v>
      </c>
      <c r="B199">
        <v>2923.43</v>
      </c>
      <c r="C199">
        <f t="shared" si="3"/>
        <v>1.199031236670276</v>
      </c>
    </row>
    <row r="200" spans="1:3" x14ac:dyDescent="0.15">
      <c r="A200" s="22">
        <v>41418</v>
      </c>
      <c r="B200">
        <v>2921.88</v>
      </c>
      <c r="C200">
        <f t="shared" si="3"/>
        <v>1.1983955113692293</v>
      </c>
    </row>
    <row r="201" spans="1:3" x14ac:dyDescent="0.15">
      <c r="A201" s="22">
        <v>41422</v>
      </c>
      <c r="B201">
        <v>2940.45</v>
      </c>
      <c r="C201">
        <f t="shared" si="3"/>
        <v>1.2060119106211242</v>
      </c>
    </row>
    <row r="202" spans="1:3" x14ac:dyDescent="0.15">
      <c r="A202" s="22">
        <v>41423</v>
      </c>
      <c r="B202">
        <v>2920.18</v>
      </c>
      <c r="C202">
        <f t="shared" si="3"/>
        <v>1.1976982642648555</v>
      </c>
    </row>
    <row r="203" spans="1:3" x14ac:dyDescent="0.15">
      <c r="A203" s="22">
        <v>41424</v>
      </c>
      <c r="B203">
        <v>2931.39</v>
      </c>
      <c r="C203">
        <f t="shared" si="3"/>
        <v>1.2022959937001674</v>
      </c>
    </row>
    <row r="204" spans="1:3" x14ac:dyDescent="0.15">
      <c r="A204" s="22">
        <v>41425</v>
      </c>
      <c r="B204">
        <v>2889.46</v>
      </c>
      <c r="C204">
        <f t="shared" si="3"/>
        <v>1.1850985989434657</v>
      </c>
    </row>
    <row r="205" spans="1:3" x14ac:dyDescent="0.15">
      <c r="A205" s="22">
        <v>41428</v>
      </c>
      <c r="B205">
        <v>2906.91</v>
      </c>
      <c r="C205">
        <f t="shared" si="3"/>
        <v>1.1922556353971847</v>
      </c>
    </row>
    <row r="206" spans="1:3" x14ac:dyDescent="0.15">
      <c r="A206" s="22">
        <v>41429</v>
      </c>
      <c r="B206">
        <v>2891.02</v>
      </c>
      <c r="C206">
        <f t="shared" si="3"/>
        <v>1.1857384256980674</v>
      </c>
    </row>
    <row r="207" spans="1:3" x14ac:dyDescent="0.15">
      <c r="A207" s="22">
        <v>41430</v>
      </c>
      <c r="B207">
        <v>2851.89</v>
      </c>
      <c r="C207">
        <f t="shared" si="3"/>
        <v>1.1696894379368048</v>
      </c>
    </row>
    <row r="208" spans="1:3" x14ac:dyDescent="0.15">
      <c r="A208" s="22">
        <v>41431</v>
      </c>
      <c r="B208">
        <v>2876.5</v>
      </c>
      <c r="C208">
        <f t="shared" si="3"/>
        <v>1.1797831151360043</v>
      </c>
    </row>
    <row r="209" spans="1:3" x14ac:dyDescent="0.15">
      <c r="A209" s="22">
        <v>41432</v>
      </c>
      <c r="B209">
        <v>2913.46</v>
      </c>
      <c r="C209">
        <f t="shared" si="3"/>
        <v>1.1949420874758014</v>
      </c>
    </row>
    <row r="210" spans="1:3" x14ac:dyDescent="0.15">
      <c r="A210" s="22">
        <v>41435</v>
      </c>
      <c r="B210">
        <v>2912.63</v>
      </c>
      <c r="C210">
        <f t="shared" si="3"/>
        <v>1.1946016668307249</v>
      </c>
    </row>
    <row r="211" spans="1:3" x14ac:dyDescent="0.15">
      <c r="A211" s="22">
        <v>41436</v>
      </c>
      <c r="B211">
        <v>2883.07</v>
      </c>
      <c r="C211">
        <f t="shared" si="3"/>
        <v>1.1824777701217313</v>
      </c>
    </row>
    <row r="212" spans="1:3" x14ac:dyDescent="0.15">
      <c r="A212" s="22">
        <v>41437</v>
      </c>
      <c r="B212">
        <v>2859.62</v>
      </c>
      <c r="C212">
        <f t="shared" si="3"/>
        <v>1.1728598615349279</v>
      </c>
    </row>
    <row r="213" spans="1:3" x14ac:dyDescent="0.15">
      <c r="A213" s="22">
        <v>41438</v>
      </c>
      <c r="B213">
        <v>2902.32</v>
      </c>
      <c r="C213">
        <f t="shared" si="3"/>
        <v>1.1903730682153757</v>
      </c>
    </row>
    <row r="214" spans="1:3" x14ac:dyDescent="0.15">
      <c r="A214" s="22">
        <v>41439</v>
      </c>
      <c r="B214">
        <v>2885.24</v>
      </c>
      <c r="C214">
        <f t="shared" si="3"/>
        <v>1.1833677855431965</v>
      </c>
    </row>
    <row r="215" spans="1:3" x14ac:dyDescent="0.15">
      <c r="A215" s="22">
        <v>41442</v>
      </c>
      <c r="B215">
        <v>2907.12</v>
      </c>
      <c r="C215">
        <f t="shared" si="3"/>
        <v>1.1923417659218427</v>
      </c>
    </row>
    <row r="216" spans="1:3" x14ac:dyDescent="0.15">
      <c r="A216" s="22">
        <v>41443</v>
      </c>
      <c r="B216">
        <v>2929.81</v>
      </c>
      <c r="C216">
        <f t="shared" si="3"/>
        <v>1.2016479640384552</v>
      </c>
    </row>
    <row r="217" spans="1:3" x14ac:dyDescent="0.15">
      <c r="A217" s="22">
        <v>41444</v>
      </c>
      <c r="B217">
        <v>2889.25</v>
      </c>
      <c r="C217">
        <f t="shared" si="3"/>
        <v>1.1850124684188077</v>
      </c>
    </row>
    <row r="218" spans="1:3" x14ac:dyDescent="0.15">
      <c r="A218" s="22">
        <v>41445</v>
      </c>
      <c r="B218">
        <v>2817.44</v>
      </c>
      <c r="C218">
        <f t="shared" si="3"/>
        <v>1.1555599304393478</v>
      </c>
    </row>
    <row r="219" spans="1:3" x14ac:dyDescent="0.15">
      <c r="A219" s="22">
        <v>41446</v>
      </c>
      <c r="B219">
        <v>2824.97</v>
      </c>
      <c r="C219">
        <f t="shared" si="3"/>
        <v>1.1586483249663682</v>
      </c>
    </row>
    <row r="220" spans="1:3" x14ac:dyDescent="0.15">
      <c r="A220" s="22">
        <v>41449</v>
      </c>
      <c r="B220">
        <v>2790.66</v>
      </c>
      <c r="C220">
        <f t="shared" si="3"/>
        <v>1.144576237818683</v>
      </c>
    </row>
    <row r="221" spans="1:3" x14ac:dyDescent="0.15">
      <c r="A221" s="22">
        <v>41450</v>
      </c>
      <c r="B221">
        <v>2817.44</v>
      </c>
      <c r="C221">
        <f t="shared" si="3"/>
        <v>1.1555599304393478</v>
      </c>
    </row>
    <row r="222" spans="1:3" x14ac:dyDescent="0.15">
      <c r="A222" s="22">
        <v>41451</v>
      </c>
      <c r="B222">
        <v>2845.04</v>
      </c>
      <c r="C222">
        <f t="shared" si="3"/>
        <v>1.1668799422515339</v>
      </c>
    </row>
    <row r="223" spans="1:3" x14ac:dyDescent="0.15">
      <c r="A223" s="22">
        <v>41452</v>
      </c>
      <c r="B223">
        <v>2862.92</v>
      </c>
      <c r="C223">
        <f t="shared" si="3"/>
        <v>1.1742133412081242</v>
      </c>
    </row>
    <row r="224" spans="1:3" x14ac:dyDescent="0.15">
      <c r="A224" s="22">
        <v>41453</v>
      </c>
      <c r="B224">
        <v>2850.66</v>
      </c>
      <c r="C224">
        <f t="shared" si="3"/>
        <v>1.1691849591495227</v>
      </c>
    </row>
    <row r="225" spans="1:3" x14ac:dyDescent="0.15">
      <c r="A225" s="22">
        <v>41456</v>
      </c>
      <c r="B225">
        <v>2866.41</v>
      </c>
      <c r="C225">
        <f t="shared" si="3"/>
        <v>1.1756447484988679</v>
      </c>
    </row>
    <row r="226" spans="1:3" x14ac:dyDescent="0.15">
      <c r="A226" s="22">
        <v>41457</v>
      </c>
      <c r="B226">
        <v>2865.48</v>
      </c>
      <c r="C226">
        <f t="shared" si="3"/>
        <v>1.17526331331824</v>
      </c>
    </row>
    <row r="227" spans="1:3" x14ac:dyDescent="0.15">
      <c r="A227" s="22">
        <v>41458</v>
      </c>
      <c r="B227">
        <v>2867.85</v>
      </c>
      <c r="C227">
        <f t="shared" si="3"/>
        <v>1.1762353578108082</v>
      </c>
    </row>
    <row r="228" spans="1:3" x14ac:dyDescent="0.15">
      <c r="A228" s="22">
        <v>41460</v>
      </c>
      <c r="B228">
        <v>2897.12</v>
      </c>
      <c r="C228">
        <f t="shared" si="3"/>
        <v>1.1882403123667027</v>
      </c>
    </row>
    <row r="229" spans="1:3" x14ac:dyDescent="0.15">
      <c r="A229" s="22">
        <v>41463</v>
      </c>
      <c r="B229">
        <v>2913.2</v>
      </c>
      <c r="C229">
        <f t="shared" si="3"/>
        <v>1.1948354496833677</v>
      </c>
    </row>
    <row r="230" spans="1:3" x14ac:dyDescent="0.15">
      <c r="A230" s="22">
        <v>41464</v>
      </c>
      <c r="B230">
        <v>2934.31</v>
      </c>
      <c r="C230">
        <f t="shared" si="3"/>
        <v>1.2034936181382683</v>
      </c>
    </row>
    <row r="231" spans="1:3" x14ac:dyDescent="0.15">
      <c r="A231" s="22">
        <v>41465</v>
      </c>
      <c r="B231">
        <v>2934.97</v>
      </c>
      <c r="C231">
        <f t="shared" si="3"/>
        <v>1.2037643140729075</v>
      </c>
    </row>
    <row r="232" spans="1:3" x14ac:dyDescent="0.15">
      <c r="A232" s="22">
        <v>41466</v>
      </c>
      <c r="B232">
        <v>2975.06</v>
      </c>
      <c r="C232">
        <f t="shared" si="3"/>
        <v>1.2202070413754635</v>
      </c>
    </row>
    <row r="233" spans="1:3" x14ac:dyDescent="0.15">
      <c r="A233" s="22">
        <v>41467</v>
      </c>
      <c r="B233">
        <v>2984.24</v>
      </c>
      <c r="C233">
        <f t="shared" si="3"/>
        <v>1.223972175739082</v>
      </c>
    </row>
    <row r="234" spans="1:3" x14ac:dyDescent="0.15">
      <c r="A234" s="22">
        <v>41470</v>
      </c>
      <c r="B234">
        <v>2988.35</v>
      </c>
      <c r="C234">
        <f t="shared" si="3"/>
        <v>1.2256578731502445</v>
      </c>
    </row>
    <row r="235" spans="1:3" x14ac:dyDescent="0.15">
      <c r="A235" s="22">
        <v>41471</v>
      </c>
      <c r="B235">
        <v>2977.26</v>
      </c>
      <c r="C235">
        <f t="shared" si="3"/>
        <v>1.2211093611575945</v>
      </c>
    </row>
    <row r="236" spans="1:3" x14ac:dyDescent="0.15">
      <c r="A236" s="22">
        <v>41472</v>
      </c>
      <c r="B236">
        <v>2985.85</v>
      </c>
      <c r="C236">
        <f t="shared" si="3"/>
        <v>1.2246325097614594</v>
      </c>
    </row>
    <row r="237" spans="1:3" x14ac:dyDescent="0.15">
      <c r="A237" s="22">
        <v>41473</v>
      </c>
      <c r="B237">
        <v>3001.21</v>
      </c>
      <c r="C237">
        <f t="shared" si="3"/>
        <v>1.2309323424221545</v>
      </c>
    </row>
    <row r="238" spans="1:3" x14ac:dyDescent="0.15">
      <c r="A238" s="22">
        <v>41474</v>
      </c>
      <c r="B238">
        <v>3006.13</v>
      </c>
      <c r="C238">
        <f t="shared" si="3"/>
        <v>1.2329502575712834</v>
      </c>
    </row>
    <row r="239" spans="1:3" x14ac:dyDescent="0.15">
      <c r="A239" s="22">
        <v>41477</v>
      </c>
      <c r="B239">
        <v>3012.3</v>
      </c>
      <c r="C239">
        <f t="shared" si="3"/>
        <v>1.2354808544148048</v>
      </c>
    </row>
    <row r="240" spans="1:3" x14ac:dyDescent="0.15">
      <c r="A240" s="22">
        <v>41478</v>
      </c>
      <c r="B240">
        <v>3006.72</v>
      </c>
      <c r="C240">
        <f t="shared" si="3"/>
        <v>1.2331922433310365</v>
      </c>
    </row>
    <row r="241" spans="1:3" x14ac:dyDescent="0.15">
      <c r="A241" s="22">
        <v>41479</v>
      </c>
      <c r="B241">
        <v>2995.3</v>
      </c>
      <c r="C241">
        <f t="shared" si="3"/>
        <v>1.2285083833710668</v>
      </c>
    </row>
    <row r="242" spans="1:3" x14ac:dyDescent="0.15">
      <c r="A242" s="22">
        <v>41480</v>
      </c>
      <c r="B242">
        <v>3003.01</v>
      </c>
      <c r="C242">
        <f t="shared" si="3"/>
        <v>1.2316706040620797</v>
      </c>
    </row>
    <row r="243" spans="1:3" x14ac:dyDescent="0.15">
      <c r="A243" s="22">
        <v>41481</v>
      </c>
      <c r="B243">
        <v>3005.51</v>
      </c>
      <c r="C243">
        <f t="shared" si="3"/>
        <v>1.2326959674508648</v>
      </c>
    </row>
    <row r="244" spans="1:3" x14ac:dyDescent="0.15">
      <c r="A244" s="22">
        <v>41484</v>
      </c>
      <c r="B244">
        <v>2994.45</v>
      </c>
      <c r="C244">
        <f t="shared" si="3"/>
        <v>1.2281597598188798</v>
      </c>
    </row>
    <row r="245" spans="1:3" x14ac:dyDescent="0.15">
      <c r="A245" s="22">
        <v>41485</v>
      </c>
      <c r="B245">
        <v>2995.68</v>
      </c>
      <c r="C245">
        <f t="shared" si="3"/>
        <v>1.2286642386061621</v>
      </c>
    </row>
    <row r="246" spans="1:3" x14ac:dyDescent="0.15">
      <c r="A246" s="22">
        <v>41486</v>
      </c>
      <c r="B246">
        <v>2995.72</v>
      </c>
      <c r="C246">
        <f t="shared" si="3"/>
        <v>1.2286806444203826</v>
      </c>
    </row>
    <row r="247" spans="1:3" x14ac:dyDescent="0.15">
      <c r="A247" s="22">
        <v>41487</v>
      </c>
      <c r="B247">
        <v>3033.59</v>
      </c>
      <c r="C247">
        <f t="shared" si="3"/>
        <v>1.2442128490336977</v>
      </c>
    </row>
    <row r="248" spans="1:3" x14ac:dyDescent="0.15">
      <c r="A248" s="22">
        <v>41488</v>
      </c>
      <c r="B248">
        <v>3038.63</v>
      </c>
      <c r="C248">
        <f t="shared" si="3"/>
        <v>1.2462799816254881</v>
      </c>
    </row>
    <row r="249" spans="1:3" x14ac:dyDescent="0.15">
      <c r="A249" s="22">
        <v>41491</v>
      </c>
      <c r="B249">
        <v>3034.43</v>
      </c>
      <c r="C249">
        <f t="shared" si="3"/>
        <v>1.2445573711323292</v>
      </c>
    </row>
    <row r="250" spans="1:3" x14ac:dyDescent="0.15">
      <c r="A250" s="22">
        <v>41492</v>
      </c>
      <c r="B250">
        <v>3017.16</v>
      </c>
      <c r="C250">
        <f t="shared" si="3"/>
        <v>1.2374741608426025</v>
      </c>
    </row>
    <row r="251" spans="1:3" x14ac:dyDescent="0.15">
      <c r="A251" s="22">
        <v>41493</v>
      </c>
      <c r="B251">
        <v>3006.63</v>
      </c>
      <c r="C251">
        <f t="shared" si="3"/>
        <v>1.2331553302490403</v>
      </c>
    </row>
    <row r="252" spans="1:3" x14ac:dyDescent="0.15">
      <c r="A252" s="22">
        <v>41494</v>
      </c>
      <c r="B252">
        <v>3019</v>
      </c>
      <c r="C252">
        <f t="shared" si="3"/>
        <v>1.2382288282967484</v>
      </c>
    </row>
    <row r="253" spans="1:3" x14ac:dyDescent="0.15">
      <c r="A253" s="22">
        <v>41495</v>
      </c>
      <c r="B253">
        <v>3008.79</v>
      </c>
      <c r="C253">
        <f t="shared" si="3"/>
        <v>1.2340412442169506</v>
      </c>
    </row>
    <row r="254" spans="1:3" x14ac:dyDescent="0.15">
      <c r="A254" s="22">
        <v>41498</v>
      </c>
      <c r="B254">
        <v>3005.42</v>
      </c>
      <c r="C254">
        <f t="shared" si="3"/>
        <v>1.2326590543688685</v>
      </c>
    </row>
    <row r="255" spans="1:3" x14ac:dyDescent="0.15">
      <c r="A255" s="22">
        <v>41499</v>
      </c>
      <c r="B255">
        <v>3014.43</v>
      </c>
      <c r="C255">
        <f t="shared" si="3"/>
        <v>1.2363544640220494</v>
      </c>
    </row>
    <row r="256" spans="1:3" x14ac:dyDescent="0.15">
      <c r="A256" s="22">
        <v>41500</v>
      </c>
      <c r="B256">
        <v>2999.42</v>
      </c>
      <c r="C256">
        <f t="shared" si="3"/>
        <v>1.2301981822357844</v>
      </c>
    </row>
    <row r="257" spans="1:3" x14ac:dyDescent="0.15">
      <c r="A257" s="22">
        <v>41501</v>
      </c>
      <c r="B257">
        <v>2957.08</v>
      </c>
      <c r="C257">
        <f t="shared" si="3"/>
        <v>1.2128326278833219</v>
      </c>
    </row>
    <row r="258" spans="1:3" x14ac:dyDescent="0.15">
      <c r="A258" s="22">
        <v>41502</v>
      </c>
      <c r="B258">
        <v>2947.46</v>
      </c>
      <c r="C258">
        <f t="shared" ref="C258:C321" si="4">(B258 / $B$2)</f>
        <v>1.2088870295632772</v>
      </c>
    </row>
    <row r="259" spans="1:3" x14ac:dyDescent="0.15">
      <c r="A259" s="22">
        <v>41505</v>
      </c>
      <c r="B259">
        <v>2930.27</v>
      </c>
      <c r="C259">
        <f t="shared" si="4"/>
        <v>1.2018366309019917</v>
      </c>
    </row>
    <row r="260" spans="1:3" x14ac:dyDescent="0.15">
      <c r="A260" s="22">
        <v>41506</v>
      </c>
      <c r="B260">
        <v>2941.58</v>
      </c>
      <c r="C260">
        <f t="shared" si="4"/>
        <v>1.2064753748728549</v>
      </c>
    </row>
    <row r="261" spans="1:3" x14ac:dyDescent="0.15">
      <c r="A261" s="22">
        <v>41507</v>
      </c>
      <c r="B261">
        <v>2924.73</v>
      </c>
      <c r="C261">
        <f t="shared" si="4"/>
        <v>1.1995644256324443</v>
      </c>
    </row>
    <row r="262" spans="1:3" x14ac:dyDescent="0.15">
      <c r="A262" s="22">
        <v>41508</v>
      </c>
      <c r="B262">
        <v>2949.96</v>
      </c>
      <c r="C262">
        <f t="shared" si="4"/>
        <v>1.2099123929520623</v>
      </c>
    </row>
    <row r="263" spans="1:3" x14ac:dyDescent="0.15">
      <c r="A263" s="22">
        <v>41509</v>
      </c>
      <c r="B263">
        <v>2962.06</v>
      </c>
      <c r="C263">
        <f t="shared" si="4"/>
        <v>1.2148751517537817</v>
      </c>
    </row>
    <row r="264" spans="1:3" x14ac:dyDescent="0.15">
      <c r="A264" s="22">
        <v>41512</v>
      </c>
      <c r="B264">
        <v>2950.13</v>
      </c>
      <c r="C264">
        <f t="shared" si="4"/>
        <v>1.2099821176624996</v>
      </c>
    </row>
    <row r="265" spans="1:3" x14ac:dyDescent="0.15">
      <c r="A265" s="22">
        <v>41513</v>
      </c>
      <c r="B265">
        <v>2903.29</v>
      </c>
      <c r="C265">
        <f t="shared" si="4"/>
        <v>1.1907709092102241</v>
      </c>
    </row>
    <row r="266" spans="1:3" x14ac:dyDescent="0.15">
      <c r="A266" s="22">
        <v>41514</v>
      </c>
      <c r="B266">
        <v>2911.83</v>
      </c>
      <c r="C266">
        <f t="shared" si="4"/>
        <v>1.1942735505463136</v>
      </c>
    </row>
    <row r="267" spans="1:3" x14ac:dyDescent="0.15">
      <c r="A267" s="22">
        <v>41515</v>
      </c>
      <c r="B267">
        <v>2917.96</v>
      </c>
      <c r="C267">
        <f t="shared" si="4"/>
        <v>1.1967877415756145</v>
      </c>
    </row>
    <row r="268" spans="1:3" x14ac:dyDescent="0.15">
      <c r="A268" s="22">
        <v>41516</v>
      </c>
      <c r="B268">
        <v>2908.96</v>
      </c>
      <c r="C268">
        <f t="shared" si="4"/>
        <v>1.1930964333759886</v>
      </c>
    </row>
    <row r="269" spans="1:3" x14ac:dyDescent="0.15">
      <c r="A269" s="22">
        <v>41520</v>
      </c>
      <c r="B269">
        <v>2921.23</v>
      </c>
      <c r="C269">
        <f t="shared" si="4"/>
        <v>1.1981289168881453</v>
      </c>
    </row>
    <row r="270" spans="1:3" x14ac:dyDescent="0.15">
      <c r="A270" s="22">
        <v>41521</v>
      </c>
      <c r="B270">
        <v>2945.62</v>
      </c>
      <c r="C270">
        <f t="shared" si="4"/>
        <v>1.2081323621091316</v>
      </c>
    </row>
    <row r="271" spans="1:3" x14ac:dyDescent="0.15">
      <c r="A271" s="22">
        <v>41522</v>
      </c>
      <c r="B271">
        <v>2949.27</v>
      </c>
      <c r="C271">
        <f t="shared" si="4"/>
        <v>1.2096293926567576</v>
      </c>
    </row>
    <row r="272" spans="1:3" x14ac:dyDescent="0.15">
      <c r="A272" s="22">
        <v>41523</v>
      </c>
      <c r="B272">
        <v>2949.8</v>
      </c>
      <c r="C272">
        <f t="shared" si="4"/>
        <v>1.20984676969518</v>
      </c>
    </row>
    <row r="273" spans="1:3" x14ac:dyDescent="0.15">
      <c r="A273" s="22">
        <v>41526</v>
      </c>
      <c r="B273">
        <v>2979.45</v>
      </c>
      <c r="C273">
        <f t="shared" si="4"/>
        <v>1.22200757948617</v>
      </c>
    </row>
    <row r="274" spans="1:3" x14ac:dyDescent="0.15">
      <c r="A274" s="22">
        <v>41527</v>
      </c>
      <c r="B274">
        <v>3001.36</v>
      </c>
      <c r="C274">
        <f t="shared" si="4"/>
        <v>1.2309938642254816</v>
      </c>
    </row>
    <row r="275" spans="1:3" x14ac:dyDescent="0.15">
      <c r="A275" s="22">
        <v>41528</v>
      </c>
      <c r="B275">
        <v>3010.94</v>
      </c>
      <c r="C275">
        <f t="shared" si="4"/>
        <v>1.2349230567313056</v>
      </c>
    </row>
    <row r="276" spans="1:3" x14ac:dyDescent="0.15">
      <c r="A276" s="22">
        <v>41529</v>
      </c>
      <c r="B276">
        <v>3001.62</v>
      </c>
      <c r="C276">
        <f t="shared" si="4"/>
        <v>1.2311005020179151</v>
      </c>
    </row>
    <row r="277" spans="1:3" x14ac:dyDescent="0.15">
      <c r="A277" s="22">
        <v>41530</v>
      </c>
      <c r="B277">
        <v>3009.79</v>
      </c>
      <c r="C277">
        <f t="shared" si="4"/>
        <v>1.2344513895724645</v>
      </c>
    </row>
    <row r="278" spans="1:3" x14ac:dyDescent="0.15">
      <c r="A278" s="22">
        <v>41533</v>
      </c>
      <c r="B278">
        <v>3026.94</v>
      </c>
      <c r="C278">
        <f t="shared" si="4"/>
        <v>1.2414853824195295</v>
      </c>
    </row>
    <row r="279" spans="1:3" x14ac:dyDescent="0.15">
      <c r="A279" s="22">
        <v>41534</v>
      </c>
      <c r="B279">
        <v>3039.75</v>
      </c>
      <c r="C279">
        <f t="shared" si="4"/>
        <v>1.2467393444236639</v>
      </c>
    </row>
    <row r="280" spans="1:3" x14ac:dyDescent="0.15">
      <c r="A280" s="22">
        <v>41535</v>
      </c>
      <c r="B280">
        <v>3076.81</v>
      </c>
      <c r="C280">
        <f t="shared" si="4"/>
        <v>1.2619393312990124</v>
      </c>
    </row>
    <row r="281" spans="1:3" x14ac:dyDescent="0.15">
      <c r="A281" s="22">
        <v>41536</v>
      </c>
      <c r="B281">
        <v>3071.61</v>
      </c>
      <c r="C281">
        <f t="shared" si="4"/>
        <v>1.2598065754503398</v>
      </c>
    </row>
    <row r="282" spans="1:3" x14ac:dyDescent="0.15">
      <c r="A282" s="22">
        <v>41537</v>
      </c>
      <c r="B282">
        <v>3049.47</v>
      </c>
      <c r="C282">
        <f t="shared" si="4"/>
        <v>1.2507259572792597</v>
      </c>
    </row>
    <row r="283" spans="1:3" x14ac:dyDescent="0.15">
      <c r="A283" s="22">
        <v>41540</v>
      </c>
      <c r="B283">
        <v>3035.09</v>
      </c>
      <c r="C283">
        <f t="shared" si="4"/>
        <v>1.2448280670669687</v>
      </c>
    </row>
    <row r="284" spans="1:3" x14ac:dyDescent="0.15">
      <c r="A284" s="22">
        <v>41541</v>
      </c>
      <c r="B284">
        <v>3027.52</v>
      </c>
      <c r="C284">
        <f t="shared" si="4"/>
        <v>1.2417232667257276</v>
      </c>
    </row>
    <row r="285" spans="1:3" x14ac:dyDescent="0.15">
      <c r="A285" s="22">
        <v>41542</v>
      </c>
      <c r="B285">
        <v>3019.31</v>
      </c>
      <c r="C285">
        <f t="shared" si="4"/>
        <v>1.2383559733569578</v>
      </c>
    </row>
    <row r="286" spans="1:3" x14ac:dyDescent="0.15">
      <c r="A286" s="22">
        <v>41543</v>
      </c>
      <c r="B286">
        <v>3030.41</v>
      </c>
      <c r="C286">
        <f t="shared" si="4"/>
        <v>1.2429085868031631</v>
      </c>
    </row>
    <row r="287" spans="1:3" x14ac:dyDescent="0.15">
      <c r="A287" s="22">
        <v>41544</v>
      </c>
      <c r="B287">
        <v>3018.24</v>
      </c>
      <c r="C287">
        <f t="shared" si="4"/>
        <v>1.2379171178265578</v>
      </c>
    </row>
    <row r="288" spans="1:3" x14ac:dyDescent="0.15">
      <c r="A288" s="22">
        <v>41547</v>
      </c>
      <c r="B288">
        <v>3000.18</v>
      </c>
      <c r="C288">
        <f t="shared" si="4"/>
        <v>1.230509892705975</v>
      </c>
    </row>
    <row r="289" spans="1:3" x14ac:dyDescent="0.15">
      <c r="A289" s="22">
        <v>41548</v>
      </c>
      <c r="B289">
        <v>3024.38</v>
      </c>
      <c r="C289">
        <f t="shared" si="4"/>
        <v>1.2404354103094137</v>
      </c>
    </row>
    <row r="290" spans="1:3" x14ac:dyDescent="0.15">
      <c r="A290" s="22">
        <v>41549</v>
      </c>
      <c r="B290">
        <v>3022.95</v>
      </c>
      <c r="C290">
        <f t="shared" si="4"/>
        <v>1.2398489024510286</v>
      </c>
    </row>
    <row r="291" spans="1:3" x14ac:dyDescent="0.15">
      <c r="A291" s="22">
        <v>41550</v>
      </c>
      <c r="B291">
        <v>2995.81</v>
      </c>
      <c r="C291">
        <f t="shared" si="4"/>
        <v>1.228717557502379</v>
      </c>
    </row>
    <row r="292" spans="1:3" x14ac:dyDescent="0.15">
      <c r="A292" s="22">
        <v>41551</v>
      </c>
      <c r="B292">
        <v>3017.05</v>
      </c>
      <c r="C292">
        <f t="shared" si="4"/>
        <v>1.2374290448534961</v>
      </c>
    </row>
    <row r="293" spans="1:3" x14ac:dyDescent="0.15">
      <c r="A293" s="22">
        <v>41554</v>
      </c>
      <c r="B293">
        <v>2991.39</v>
      </c>
      <c r="C293">
        <f t="shared" si="4"/>
        <v>1.2269047150310071</v>
      </c>
    </row>
    <row r="294" spans="1:3" x14ac:dyDescent="0.15">
      <c r="A294" s="22">
        <v>41555</v>
      </c>
      <c r="B294">
        <v>2955.41</v>
      </c>
      <c r="C294">
        <f t="shared" si="4"/>
        <v>1.2121476851396136</v>
      </c>
    </row>
    <row r="295" spans="1:3" x14ac:dyDescent="0.15">
      <c r="A295" s="22">
        <v>41556</v>
      </c>
      <c r="B295">
        <v>2957.4</v>
      </c>
      <c r="C295">
        <f t="shared" si="4"/>
        <v>1.2129638743970865</v>
      </c>
    </row>
    <row r="296" spans="1:3" x14ac:dyDescent="0.15">
      <c r="A296" s="22">
        <v>41557</v>
      </c>
      <c r="B296">
        <v>3022.43</v>
      </c>
      <c r="C296">
        <f t="shared" si="4"/>
        <v>1.2396356268661615</v>
      </c>
    </row>
    <row r="297" spans="1:3" x14ac:dyDescent="0.15">
      <c r="A297" s="22">
        <v>41558</v>
      </c>
      <c r="B297">
        <v>3041.43</v>
      </c>
      <c r="C297">
        <f t="shared" si="4"/>
        <v>1.2474283886209272</v>
      </c>
    </row>
    <row r="298" spans="1:3" x14ac:dyDescent="0.15">
      <c r="A298" s="22">
        <v>41561</v>
      </c>
      <c r="B298">
        <v>3053.84</v>
      </c>
      <c r="C298">
        <f t="shared" si="4"/>
        <v>1.252518292482856</v>
      </c>
    </row>
    <row r="299" spans="1:3" x14ac:dyDescent="0.15">
      <c r="A299" s="22">
        <v>41562</v>
      </c>
      <c r="B299">
        <v>3032.27</v>
      </c>
      <c r="C299">
        <f t="shared" si="4"/>
        <v>1.2436714571644192</v>
      </c>
    </row>
    <row r="300" spans="1:3" x14ac:dyDescent="0.15">
      <c r="A300" s="22">
        <v>41563</v>
      </c>
      <c r="B300">
        <v>3074.54</v>
      </c>
      <c r="C300">
        <f t="shared" si="4"/>
        <v>1.2610083013419957</v>
      </c>
    </row>
    <row r="301" spans="1:3" x14ac:dyDescent="0.15">
      <c r="A301" s="22">
        <v>41564</v>
      </c>
      <c r="B301">
        <v>3095.42</v>
      </c>
      <c r="C301">
        <f t="shared" si="4"/>
        <v>1.269572136365128</v>
      </c>
    </row>
    <row r="302" spans="1:3" x14ac:dyDescent="0.15">
      <c r="A302" s="22">
        <v>41565</v>
      </c>
      <c r="B302">
        <v>3115.77</v>
      </c>
      <c r="C302">
        <f t="shared" si="4"/>
        <v>1.2779185943498377</v>
      </c>
    </row>
    <row r="303" spans="1:3" x14ac:dyDescent="0.15">
      <c r="A303" s="22">
        <v>41568</v>
      </c>
      <c r="B303">
        <v>3116.09</v>
      </c>
      <c r="C303">
        <f t="shared" si="4"/>
        <v>1.2780498408636023</v>
      </c>
    </row>
    <row r="304" spans="1:3" x14ac:dyDescent="0.15">
      <c r="A304" s="22">
        <v>41569</v>
      </c>
      <c r="B304">
        <v>3133.98</v>
      </c>
      <c r="C304">
        <f t="shared" si="4"/>
        <v>1.2853873412737475</v>
      </c>
    </row>
    <row r="305" spans="1:3" x14ac:dyDescent="0.15">
      <c r="A305" s="22">
        <v>41570</v>
      </c>
      <c r="B305">
        <v>3119.2</v>
      </c>
      <c r="C305">
        <f t="shared" si="4"/>
        <v>1.2793253929192505</v>
      </c>
    </row>
    <row r="306" spans="1:3" x14ac:dyDescent="0.15">
      <c r="A306" s="22">
        <v>41571</v>
      </c>
      <c r="B306">
        <v>3129.41</v>
      </c>
      <c r="C306">
        <f t="shared" si="4"/>
        <v>1.2835129769990485</v>
      </c>
    </row>
    <row r="307" spans="1:3" x14ac:dyDescent="0.15">
      <c r="A307" s="22">
        <v>41572</v>
      </c>
      <c r="B307">
        <v>3143.16</v>
      </c>
      <c r="C307">
        <f t="shared" si="4"/>
        <v>1.2891524756373658</v>
      </c>
    </row>
    <row r="308" spans="1:3" x14ac:dyDescent="0.15">
      <c r="A308" s="22">
        <v>41575</v>
      </c>
      <c r="B308">
        <v>3147.36</v>
      </c>
      <c r="C308">
        <f t="shared" si="4"/>
        <v>1.2908750861305247</v>
      </c>
    </row>
    <row r="309" spans="1:3" x14ac:dyDescent="0.15">
      <c r="A309" s="22">
        <v>41576</v>
      </c>
      <c r="B309">
        <v>3165.11</v>
      </c>
      <c r="C309">
        <f t="shared" si="4"/>
        <v>1.2981551661908981</v>
      </c>
    </row>
    <row r="310" spans="1:3" x14ac:dyDescent="0.15">
      <c r="A310" s="22">
        <v>41577</v>
      </c>
      <c r="B310">
        <v>3149.93</v>
      </c>
      <c r="C310">
        <f t="shared" si="4"/>
        <v>1.2919291596941955</v>
      </c>
    </row>
    <row r="311" spans="1:3" x14ac:dyDescent="0.15">
      <c r="A311" s="22">
        <v>41578</v>
      </c>
      <c r="B311">
        <v>3138.09</v>
      </c>
      <c r="C311">
        <f t="shared" si="4"/>
        <v>1.2870730386849101</v>
      </c>
    </row>
    <row r="312" spans="1:3" x14ac:dyDescent="0.15">
      <c r="A312" s="22">
        <v>41579</v>
      </c>
      <c r="B312">
        <v>3147.21</v>
      </c>
      <c r="C312">
        <f t="shared" si="4"/>
        <v>1.2908135643271976</v>
      </c>
    </row>
    <row r="313" spans="1:3" x14ac:dyDescent="0.15">
      <c r="A313" s="22">
        <v>41582</v>
      </c>
      <c r="B313">
        <v>3158.47</v>
      </c>
      <c r="C313">
        <f t="shared" si="4"/>
        <v>1.2954318010302852</v>
      </c>
    </row>
    <row r="314" spans="1:3" x14ac:dyDescent="0.15">
      <c r="A314" s="22">
        <v>41583</v>
      </c>
      <c r="B314">
        <v>3149.96</v>
      </c>
      <c r="C314">
        <f t="shared" si="4"/>
        <v>1.2919414640548612</v>
      </c>
    </row>
    <row r="315" spans="1:3" x14ac:dyDescent="0.15">
      <c r="A315" s="22">
        <v>41584</v>
      </c>
      <c r="B315">
        <v>3165.13</v>
      </c>
      <c r="C315">
        <f t="shared" si="4"/>
        <v>1.2981633690980086</v>
      </c>
    </row>
    <row r="316" spans="1:3" x14ac:dyDescent="0.15">
      <c r="A316" s="22">
        <v>41585</v>
      </c>
      <c r="B316">
        <v>3124.12</v>
      </c>
      <c r="C316">
        <f t="shared" si="4"/>
        <v>1.2813433080683794</v>
      </c>
    </row>
    <row r="317" spans="1:3" x14ac:dyDescent="0.15">
      <c r="A317" s="22">
        <v>41586</v>
      </c>
      <c r="B317">
        <v>3166.11</v>
      </c>
      <c r="C317">
        <f t="shared" si="4"/>
        <v>1.2985653115464122</v>
      </c>
    </row>
    <row r="318" spans="1:3" x14ac:dyDescent="0.15">
      <c r="A318" s="22">
        <v>41589</v>
      </c>
      <c r="B318">
        <v>3168.41</v>
      </c>
      <c r="C318">
        <f t="shared" si="4"/>
        <v>1.2995086458640943</v>
      </c>
    </row>
    <row r="319" spans="1:3" x14ac:dyDescent="0.15">
      <c r="A319" s="22">
        <v>41590</v>
      </c>
      <c r="B319">
        <v>3161.1</v>
      </c>
      <c r="C319">
        <f t="shared" si="4"/>
        <v>1.296510483315287</v>
      </c>
    </row>
    <row r="320" spans="1:3" x14ac:dyDescent="0.15">
      <c r="A320" s="22">
        <v>41591</v>
      </c>
      <c r="B320">
        <v>3187.64</v>
      </c>
      <c r="C320">
        <f t="shared" si="4"/>
        <v>1.3073957410506283</v>
      </c>
    </row>
    <row r="321" spans="1:3" x14ac:dyDescent="0.15">
      <c r="A321" s="22">
        <v>41592</v>
      </c>
      <c r="B321">
        <v>3203.65</v>
      </c>
      <c r="C321">
        <f t="shared" si="4"/>
        <v>1.3139621681924074</v>
      </c>
    </row>
    <row r="322" spans="1:3" x14ac:dyDescent="0.15">
      <c r="A322" s="22">
        <v>41593</v>
      </c>
      <c r="B322">
        <v>3217.2</v>
      </c>
      <c r="C322">
        <f t="shared" ref="C322:C385" si="5">(B322 / $B$2)</f>
        <v>1.3195196377596221</v>
      </c>
    </row>
    <row r="323" spans="1:3" x14ac:dyDescent="0.15">
      <c r="A323" s="22">
        <v>41596</v>
      </c>
      <c r="B323">
        <v>3205.46</v>
      </c>
      <c r="C323">
        <f t="shared" si="5"/>
        <v>1.3147045312858878</v>
      </c>
    </row>
    <row r="324" spans="1:3" x14ac:dyDescent="0.15">
      <c r="A324" s="22">
        <v>41597</v>
      </c>
      <c r="B324">
        <v>3199.51</v>
      </c>
      <c r="C324">
        <f t="shared" si="5"/>
        <v>1.3122641664205796</v>
      </c>
    </row>
    <row r="325" spans="1:3" x14ac:dyDescent="0.15">
      <c r="A325" s="22">
        <v>41598</v>
      </c>
      <c r="B325">
        <v>3188.04</v>
      </c>
      <c r="C325">
        <f t="shared" si="5"/>
        <v>1.307559799192834</v>
      </c>
    </row>
    <row r="326" spans="1:3" x14ac:dyDescent="0.15">
      <c r="A326" s="22">
        <v>41599</v>
      </c>
      <c r="B326">
        <v>3214.16</v>
      </c>
      <c r="C326">
        <f t="shared" si="5"/>
        <v>1.3182727958788596</v>
      </c>
    </row>
    <row r="327" spans="1:3" x14ac:dyDescent="0.15">
      <c r="A327" s="22">
        <v>41600</v>
      </c>
      <c r="B327">
        <v>3230.54</v>
      </c>
      <c r="C327">
        <f t="shared" si="5"/>
        <v>1.3249909768021788</v>
      </c>
    </row>
    <row r="328" spans="1:3" x14ac:dyDescent="0.15">
      <c r="A328" s="22">
        <v>41603</v>
      </c>
      <c r="B328">
        <v>3226.53</v>
      </c>
      <c r="C328">
        <f t="shared" si="5"/>
        <v>1.3233462939265677</v>
      </c>
    </row>
    <row r="329" spans="1:3" x14ac:dyDescent="0.15">
      <c r="A329" s="22">
        <v>41604</v>
      </c>
      <c r="B329">
        <v>3227.36</v>
      </c>
      <c r="C329">
        <f t="shared" si="5"/>
        <v>1.3236867145716442</v>
      </c>
    </row>
    <row r="330" spans="1:3" x14ac:dyDescent="0.15">
      <c r="A330" s="22">
        <v>41605</v>
      </c>
      <c r="B330">
        <v>3236.14</v>
      </c>
      <c r="C330">
        <f t="shared" si="5"/>
        <v>1.3272877907930571</v>
      </c>
    </row>
    <row r="331" spans="1:3" x14ac:dyDescent="0.15">
      <c r="A331" s="22">
        <v>41607</v>
      </c>
      <c r="B331">
        <v>3233.72</v>
      </c>
      <c r="C331">
        <f t="shared" si="5"/>
        <v>1.3262952390327132</v>
      </c>
    </row>
    <row r="332" spans="1:3" x14ac:dyDescent="0.15">
      <c r="A332" s="22">
        <v>41610</v>
      </c>
      <c r="B332">
        <v>3225.06</v>
      </c>
      <c r="C332">
        <f t="shared" si="5"/>
        <v>1.3227433802539621</v>
      </c>
    </row>
    <row r="333" spans="1:3" x14ac:dyDescent="0.15">
      <c r="A333" s="22">
        <v>41611</v>
      </c>
      <c r="B333">
        <v>3214.95</v>
      </c>
      <c r="C333">
        <f t="shared" si="5"/>
        <v>1.3185968107097155</v>
      </c>
    </row>
    <row r="334" spans="1:3" x14ac:dyDescent="0.15">
      <c r="A334" s="22">
        <v>41612</v>
      </c>
      <c r="B334">
        <v>3211.59</v>
      </c>
      <c r="C334">
        <f t="shared" si="5"/>
        <v>1.3172187223151886</v>
      </c>
    </row>
    <row r="335" spans="1:3" x14ac:dyDescent="0.15">
      <c r="A335" s="22">
        <v>41613</v>
      </c>
      <c r="B335">
        <v>3197.76</v>
      </c>
      <c r="C335">
        <f t="shared" si="5"/>
        <v>1.3115464120484301</v>
      </c>
    </row>
    <row r="336" spans="1:3" x14ac:dyDescent="0.15">
      <c r="A336" s="22">
        <v>41614</v>
      </c>
      <c r="B336">
        <v>3233.99</v>
      </c>
      <c r="C336">
        <f t="shared" si="5"/>
        <v>1.3264059782787019</v>
      </c>
    </row>
    <row r="337" spans="1:3" x14ac:dyDescent="0.15">
      <c r="A337" s="22">
        <v>41617</v>
      </c>
      <c r="B337">
        <v>3239.99</v>
      </c>
      <c r="C337">
        <f t="shared" si="5"/>
        <v>1.328866850411786</v>
      </c>
    </row>
    <row r="338" spans="1:3" x14ac:dyDescent="0.15">
      <c r="A338" s="22">
        <v>41618</v>
      </c>
      <c r="B338">
        <v>3229.72</v>
      </c>
      <c r="C338">
        <f t="shared" si="5"/>
        <v>1.3246546576106573</v>
      </c>
    </row>
    <row r="339" spans="1:3" x14ac:dyDescent="0.15">
      <c r="A339" s="22">
        <v>41619</v>
      </c>
      <c r="B339">
        <v>3193.52</v>
      </c>
      <c r="C339">
        <f t="shared" si="5"/>
        <v>1.3098073957410508</v>
      </c>
    </row>
    <row r="340" spans="1:3" x14ac:dyDescent="0.15">
      <c r="A340" s="22">
        <v>41620</v>
      </c>
      <c r="B340">
        <v>3182.33</v>
      </c>
      <c r="C340">
        <f t="shared" si="5"/>
        <v>1.3052178692128491</v>
      </c>
    </row>
    <row r="341" spans="1:3" x14ac:dyDescent="0.15">
      <c r="A341" s="22">
        <v>41621</v>
      </c>
      <c r="B341">
        <v>3182.07</v>
      </c>
      <c r="C341">
        <f t="shared" si="5"/>
        <v>1.3051112314204156</v>
      </c>
    </row>
    <row r="342" spans="1:3" x14ac:dyDescent="0.15">
      <c r="A342" s="22">
        <v>41624</v>
      </c>
      <c r="B342">
        <v>3202.22</v>
      </c>
      <c r="C342">
        <f t="shared" si="5"/>
        <v>1.3133756603340223</v>
      </c>
    </row>
    <row r="343" spans="1:3" x14ac:dyDescent="0.15">
      <c r="A343" s="22">
        <v>41625</v>
      </c>
      <c r="B343">
        <v>3192.33</v>
      </c>
      <c r="C343">
        <f t="shared" si="5"/>
        <v>1.3093193227679891</v>
      </c>
    </row>
    <row r="344" spans="1:3" x14ac:dyDescent="0.15">
      <c r="A344" s="22">
        <v>41626</v>
      </c>
      <c r="B344">
        <v>3245.59</v>
      </c>
      <c r="C344">
        <f t="shared" si="5"/>
        <v>1.3311636644026645</v>
      </c>
    </row>
    <row r="345" spans="1:3" x14ac:dyDescent="0.15">
      <c r="A345" s="22">
        <v>41627</v>
      </c>
      <c r="B345">
        <v>3244.15</v>
      </c>
      <c r="C345">
        <f t="shared" si="5"/>
        <v>1.3305730550907242</v>
      </c>
    </row>
    <row r="346" spans="1:3" x14ac:dyDescent="0.15">
      <c r="A346" s="22">
        <v>41628</v>
      </c>
      <c r="B346">
        <v>3259.79</v>
      </c>
      <c r="C346">
        <f t="shared" si="5"/>
        <v>1.336987728450963</v>
      </c>
    </row>
    <row r="347" spans="1:3" x14ac:dyDescent="0.15">
      <c r="A347" s="22">
        <v>41631</v>
      </c>
      <c r="B347">
        <v>3277.62</v>
      </c>
      <c r="C347">
        <f t="shared" si="5"/>
        <v>1.3443006201397776</v>
      </c>
    </row>
    <row r="348" spans="1:3" x14ac:dyDescent="0.15">
      <c r="A348" s="22">
        <v>41632</v>
      </c>
      <c r="B348">
        <v>3287.55</v>
      </c>
      <c r="C348">
        <f t="shared" si="5"/>
        <v>1.3483733635200317</v>
      </c>
    </row>
    <row r="349" spans="1:3" x14ac:dyDescent="0.15">
      <c r="A349" s="22">
        <v>41634</v>
      </c>
      <c r="B349">
        <v>3303.15</v>
      </c>
      <c r="C349">
        <f t="shared" si="5"/>
        <v>1.35477163106605</v>
      </c>
    </row>
    <row r="350" spans="1:3" x14ac:dyDescent="0.15">
      <c r="A350" s="22">
        <v>41635</v>
      </c>
      <c r="B350">
        <v>3302.66</v>
      </c>
      <c r="C350">
        <f t="shared" si="5"/>
        <v>1.3545706598418479</v>
      </c>
    </row>
    <row r="351" spans="1:3" x14ac:dyDescent="0.15">
      <c r="A351" s="22">
        <v>41638</v>
      </c>
      <c r="B351">
        <v>3302.3</v>
      </c>
      <c r="C351">
        <f t="shared" si="5"/>
        <v>1.354423007513863</v>
      </c>
    </row>
    <row r="352" spans="1:3" x14ac:dyDescent="0.15">
      <c r="A352" s="22">
        <v>41639</v>
      </c>
      <c r="B352">
        <v>3315.59</v>
      </c>
      <c r="C352">
        <f t="shared" si="5"/>
        <v>1.359873839288644</v>
      </c>
    </row>
    <row r="353" spans="1:3" x14ac:dyDescent="0.15">
      <c r="A353" s="22">
        <v>41641</v>
      </c>
      <c r="B353">
        <v>3286.69</v>
      </c>
      <c r="C353">
        <f t="shared" si="5"/>
        <v>1.3480206385142897</v>
      </c>
    </row>
    <row r="354" spans="1:3" x14ac:dyDescent="0.15">
      <c r="A354" s="22">
        <v>41642</v>
      </c>
      <c r="B354">
        <v>3285.68</v>
      </c>
      <c r="C354">
        <f t="shared" si="5"/>
        <v>1.3476063917052203</v>
      </c>
    </row>
    <row r="355" spans="1:3" x14ac:dyDescent="0.15">
      <c r="A355" s="22">
        <v>41645</v>
      </c>
      <c r="B355">
        <v>3277.48</v>
      </c>
      <c r="C355">
        <f t="shared" si="5"/>
        <v>1.3442431997900057</v>
      </c>
    </row>
    <row r="356" spans="1:3" x14ac:dyDescent="0.15">
      <c r="A356" s="22">
        <v>41646</v>
      </c>
      <c r="B356">
        <v>3297.45</v>
      </c>
      <c r="C356">
        <f t="shared" si="5"/>
        <v>1.3524338025396201</v>
      </c>
    </row>
    <row r="357" spans="1:3" x14ac:dyDescent="0.15">
      <c r="A357" s="22">
        <v>41647</v>
      </c>
      <c r="B357">
        <v>3297.74</v>
      </c>
      <c r="C357">
        <f t="shared" si="5"/>
        <v>1.352552744692719</v>
      </c>
    </row>
    <row r="358" spans="1:3" x14ac:dyDescent="0.15">
      <c r="A358" s="22">
        <v>41648</v>
      </c>
      <c r="B358">
        <v>3298.87</v>
      </c>
      <c r="C358">
        <f t="shared" si="5"/>
        <v>1.35301620894445</v>
      </c>
    </row>
    <row r="359" spans="1:3" x14ac:dyDescent="0.15">
      <c r="A359" s="22">
        <v>41649</v>
      </c>
      <c r="B359">
        <v>3306.49</v>
      </c>
      <c r="C359">
        <f t="shared" si="5"/>
        <v>1.3561415165534665</v>
      </c>
    </row>
    <row r="360" spans="1:3" x14ac:dyDescent="0.15">
      <c r="A360" s="22">
        <v>41652</v>
      </c>
      <c r="B360">
        <v>3265.27</v>
      </c>
      <c r="C360">
        <f t="shared" si="5"/>
        <v>1.3392353249991797</v>
      </c>
    </row>
    <row r="361" spans="1:3" x14ac:dyDescent="0.15">
      <c r="A361" s="22">
        <v>41653</v>
      </c>
      <c r="B361">
        <v>3300.61</v>
      </c>
      <c r="C361">
        <f t="shared" si="5"/>
        <v>1.3537298618630444</v>
      </c>
    </row>
    <row r="362" spans="1:3" x14ac:dyDescent="0.15">
      <c r="A362" s="22">
        <v>41654</v>
      </c>
      <c r="B362">
        <v>3317.75</v>
      </c>
      <c r="C362">
        <f t="shared" si="5"/>
        <v>1.3607597532565543</v>
      </c>
    </row>
    <row r="363" spans="1:3" x14ac:dyDescent="0.15">
      <c r="A363" s="22">
        <v>41655</v>
      </c>
      <c r="B363">
        <v>3313.36</v>
      </c>
      <c r="C363">
        <f t="shared" si="5"/>
        <v>1.3589592151458478</v>
      </c>
    </row>
    <row r="364" spans="1:3" x14ac:dyDescent="0.15">
      <c r="A364" s="22">
        <v>41656</v>
      </c>
      <c r="B364">
        <v>3300.51</v>
      </c>
      <c r="C364">
        <f t="shared" si="5"/>
        <v>1.3536888473274931</v>
      </c>
    </row>
    <row r="365" spans="1:3" x14ac:dyDescent="0.15">
      <c r="A365" s="22">
        <v>41660</v>
      </c>
      <c r="B365">
        <v>3309.74</v>
      </c>
      <c r="C365">
        <f t="shared" si="5"/>
        <v>1.357474488958887</v>
      </c>
    </row>
    <row r="366" spans="1:3" x14ac:dyDescent="0.15">
      <c r="A366" s="22">
        <v>41661</v>
      </c>
      <c r="B366">
        <v>3312.04</v>
      </c>
      <c r="C366">
        <f t="shared" si="5"/>
        <v>1.3584178232765693</v>
      </c>
    </row>
    <row r="367" spans="1:3" x14ac:dyDescent="0.15">
      <c r="A367" s="22">
        <v>41662</v>
      </c>
      <c r="B367">
        <v>3282.64</v>
      </c>
      <c r="C367">
        <f t="shared" si="5"/>
        <v>1.3463595498244578</v>
      </c>
    </row>
    <row r="368" spans="1:3" x14ac:dyDescent="0.15">
      <c r="A368" s="22">
        <v>41663</v>
      </c>
      <c r="B368">
        <v>3214.13</v>
      </c>
      <c r="C368">
        <f t="shared" si="5"/>
        <v>1.3182604915181941</v>
      </c>
    </row>
    <row r="369" spans="1:3" x14ac:dyDescent="0.15">
      <c r="A369" s="22">
        <v>41666</v>
      </c>
      <c r="B369">
        <v>3198.57</v>
      </c>
      <c r="C369">
        <f t="shared" si="5"/>
        <v>1.3118786297863965</v>
      </c>
    </row>
    <row r="370" spans="1:3" x14ac:dyDescent="0.15">
      <c r="A370" s="22">
        <v>41667</v>
      </c>
      <c r="B370">
        <v>3218.21</v>
      </c>
      <c r="C370">
        <f t="shared" si="5"/>
        <v>1.3199338845686912</v>
      </c>
    </row>
    <row r="371" spans="1:3" x14ac:dyDescent="0.15">
      <c r="A371" s="22">
        <v>41668</v>
      </c>
      <c r="B371">
        <v>3185.7</v>
      </c>
      <c r="C371">
        <f t="shared" si="5"/>
        <v>1.3066000590609312</v>
      </c>
    </row>
    <row r="372" spans="1:3" x14ac:dyDescent="0.15">
      <c r="A372" s="22">
        <v>41669</v>
      </c>
      <c r="B372">
        <v>3221.78</v>
      </c>
      <c r="C372">
        <f t="shared" si="5"/>
        <v>1.3213981034878763</v>
      </c>
    </row>
    <row r="373" spans="1:3" x14ac:dyDescent="0.15">
      <c r="A373" s="22">
        <v>41670</v>
      </c>
      <c r="B373">
        <v>3200.95</v>
      </c>
      <c r="C373">
        <f t="shared" si="5"/>
        <v>1.3128547757325195</v>
      </c>
    </row>
    <row r="374" spans="1:3" x14ac:dyDescent="0.15">
      <c r="A374" s="22">
        <v>41673</v>
      </c>
      <c r="B374">
        <v>3127.87</v>
      </c>
      <c r="C374">
        <f t="shared" si="5"/>
        <v>1.282881353151557</v>
      </c>
    </row>
    <row r="375" spans="1:3" x14ac:dyDescent="0.15">
      <c r="A375" s="22">
        <v>41674</v>
      </c>
      <c r="B375">
        <v>3151.94</v>
      </c>
      <c r="C375">
        <f t="shared" si="5"/>
        <v>1.2927535518587789</v>
      </c>
    </row>
    <row r="376" spans="1:3" x14ac:dyDescent="0.15">
      <c r="A376" s="22">
        <v>41675</v>
      </c>
      <c r="B376">
        <v>3146.49</v>
      </c>
      <c r="C376">
        <f t="shared" si="5"/>
        <v>1.2905182596712275</v>
      </c>
    </row>
    <row r="377" spans="1:3" x14ac:dyDescent="0.15">
      <c r="A377" s="22">
        <v>41676</v>
      </c>
      <c r="B377">
        <v>3187.25</v>
      </c>
      <c r="C377">
        <f t="shared" si="5"/>
        <v>1.307235784361978</v>
      </c>
    </row>
    <row r="378" spans="1:3" x14ac:dyDescent="0.15">
      <c r="A378" s="22">
        <v>41677</v>
      </c>
      <c r="B378">
        <v>3229.64</v>
      </c>
      <c r="C378">
        <f t="shared" si="5"/>
        <v>1.3246218459822161</v>
      </c>
    </row>
    <row r="379" spans="1:3" x14ac:dyDescent="0.15">
      <c r="A379" s="22">
        <v>41680</v>
      </c>
      <c r="B379">
        <v>3234.79</v>
      </c>
      <c r="C379">
        <f t="shared" si="5"/>
        <v>1.3267340945631132</v>
      </c>
    </row>
    <row r="380" spans="1:3" x14ac:dyDescent="0.15">
      <c r="A380" s="22">
        <v>41681</v>
      </c>
      <c r="B380">
        <v>3270.74</v>
      </c>
      <c r="C380">
        <f t="shared" si="5"/>
        <v>1.3414788200938412</v>
      </c>
    </row>
    <row r="381" spans="1:3" x14ac:dyDescent="0.15">
      <c r="A381" s="22">
        <v>41682</v>
      </c>
      <c r="B381">
        <v>3271.47</v>
      </c>
      <c r="C381">
        <f t="shared" si="5"/>
        <v>1.3417782262033664</v>
      </c>
    </row>
    <row r="382" spans="1:3" x14ac:dyDescent="0.15">
      <c r="A382" s="22">
        <v>41683</v>
      </c>
      <c r="B382">
        <v>3290.82</v>
      </c>
      <c r="C382">
        <f t="shared" si="5"/>
        <v>1.3497145388325624</v>
      </c>
    </row>
    <row r="383" spans="1:3" x14ac:dyDescent="0.15">
      <c r="A383" s="22">
        <v>41684</v>
      </c>
      <c r="B383">
        <v>3306.92</v>
      </c>
      <c r="C383">
        <f t="shared" si="5"/>
        <v>1.3563178790563377</v>
      </c>
    </row>
    <row r="384" spans="1:3" x14ac:dyDescent="0.15">
      <c r="A384" s="22">
        <v>41688</v>
      </c>
      <c r="B384">
        <v>3311.27</v>
      </c>
      <c r="C384">
        <f t="shared" si="5"/>
        <v>1.3581020113528235</v>
      </c>
    </row>
    <row r="385" spans="1:3" x14ac:dyDescent="0.15">
      <c r="A385" s="22">
        <v>41689</v>
      </c>
      <c r="B385">
        <v>3289.83</v>
      </c>
      <c r="C385">
        <f t="shared" si="5"/>
        <v>1.3493084949306036</v>
      </c>
    </row>
    <row r="386" spans="1:3" x14ac:dyDescent="0.15">
      <c r="A386" s="22">
        <v>41690</v>
      </c>
      <c r="B386">
        <v>3310.27</v>
      </c>
      <c r="C386">
        <f t="shared" ref="C386:C449" si="6">(B386 / $B$2)</f>
        <v>1.3576918659973096</v>
      </c>
    </row>
    <row r="387" spans="1:3" x14ac:dyDescent="0.15">
      <c r="A387" s="22">
        <v>41691</v>
      </c>
      <c r="B387">
        <v>3304.36</v>
      </c>
      <c r="C387">
        <f t="shared" si="6"/>
        <v>1.3552679069462219</v>
      </c>
    </row>
    <row r="388" spans="1:3" x14ac:dyDescent="0.15">
      <c r="A388" s="22">
        <v>41694</v>
      </c>
      <c r="B388">
        <v>3324.84</v>
      </c>
      <c r="C388">
        <f t="shared" si="6"/>
        <v>1.3636676838271484</v>
      </c>
    </row>
    <row r="389" spans="1:3" x14ac:dyDescent="0.15">
      <c r="A389" s="22">
        <v>41695</v>
      </c>
      <c r="B389">
        <v>3320.43</v>
      </c>
      <c r="C389">
        <f t="shared" si="6"/>
        <v>1.3618589428093317</v>
      </c>
    </row>
    <row r="390" spans="1:3" x14ac:dyDescent="0.15">
      <c r="A390" s="22">
        <v>41696</v>
      </c>
      <c r="B390">
        <v>3321.15</v>
      </c>
      <c r="C390">
        <f t="shared" si="6"/>
        <v>1.3621542474653019</v>
      </c>
    </row>
    <row r="391" spans="1:3" x14ac:dyDescent="0.15">
      <c r="A391" s="22">
        <v>41697</v>
      </c>
      <c r="B391">
        <v>3338.05</v>
      </c>
      <c r="C391">
        <f t="shared" si="6"/>
        <v>1.3690857039734883</v>
      </c>
    </row>
    <row r="392" spans="1:3" x14ac:dyDescent="0.15">
      <c r="A392" s="22">
        <v>41698</v>
      </c>
      <c r="B392">
        <v>3347.38</v>
      </c>
      <c r="C392">
        <f t="shared" si="6"/>
        <v>1.3729123601404338</v>
      </c>
    </row>
    <row r="393" spans="1:3" x14ac:dyDescent="0.15">
      <c r="A393" s="22">
        <v>41701</v>
      </c>
      <c r="B393">
        <v>3322.85</v>
      </c>
      <c r="C393">
        <f t="shared" si="6"/>
        <v>1.3628514945696755</v>
      </c>
    </row>
    <row r="394" spans="1:3" x14ac:dyDescent="0.15">
      <c r="A394" s="22">
        <v>41702</v>
      </c>
      <c r="B394">
        <v>3373.64</v>
      </c>
      <c r="C394">
        <f t="shared" si="6"/>
        <v>1.3836827771762312</v>
      </c>
    </row>
    <row r="395" spans="1:3" x14ac:dyDescent="0.15">
      <c r="A395" s="22">
        <v>41703</v>
      </c>
      <c r="B395">
        <v>3374.1</v>
      </c>
      <c r="C395">
        <f t="shared" si="6"/>
        <v>1.3838714440397677</v>
      </c>
    </row>
    <row r="396" spans="1:3" x14ac:dyDescent="0.15">
      <c r="A396" s="22">
        <v>41704</v>
      </c>
      <c r="B396">
        <v>3380.49</v>
      </c>
      <c r="C396">
        <f t="shared" si="6"/>
        <v>1.3864922728615021</v>
      </c>
    </row>
    <row r="397" spans="1:3" x14ac:dyDescent="0.15">
      <c r="A397" s="22">
        <v>41705</v>
      </c>
      <c r="B397">
        <v>3382.57</v>
      </c>
      <c r="C397">
        <f t="shared" si="6"/>
        <v>1.3873453752009715</v>
      </c>
    </row>
    <row r="398" spans="1:3" x14ac:dyDescent="0.15">
      <c r="A398" s="22">
        <v>41708</v>
      </c>
      <c r="B398">
        <v>3381.22</v>
      </c>
      <c r="C398">
        <f t="shared" si="6"/>
        <v>1.3867916789710273</v>
      </c>
    </row>
    <row r="399" spans="1:3" x14ac:dyDescent="0.15">
      <c r="A399" s="22">
        <v>41709</v>
      </c>
      <c r="B399">
        <v>3364.17</v>
      </c>
      <c r="C399">
        <f t="shared" si="6"/>
        <v>1.3797987006595138</v>
      </c>
    </row>
    <row r="400" spans="1:3" x14ac:dyDescent="0.15">
      <c r="A400" s="22">
        <v>41710</v>
      </c>
      <c r="B400">
        <v>3366.07</v>
      </c>
      <c r="C400">
        <f t="shared" si="6"/>
        <v>1.3805779768349904</v>
      </c>
    </row>
    <row r="401" spans="1:3" x14ac:dyDescent="0.15">
      <c r="A401" s="22">
        <v>41711</v>
      </c>
      <c r="B401">
        <v>3327.11</v>
      </c>
      <c r="C401">
        <f t="shared" si="6"/>
        <v>1.3645987137841653</v>
      </c>
    </row>
    <row r="402" spans="1:3" x14ac:dyDescent="0.15">
      <c r="A402" s="22">
        <v>41712</v>
      </c>
      <c r="B402">
        <v>3317.81</v>
      </c>
      <c r="C402">
        <f t="shared" si="6"/>
        <v>1.360784361977885</v>
      </c>
    </row>
    <row r="403" spans="1:3" x14ac:dyDescent="0.15">
      <c r="A403" s="22">
        <v>41715</v>
      </c>
      <c r="B403">
        <v>3349.71</v>
      </c>
      <c r="C403">
        <f t="shared" si="6"/>
        <v>1.3738679988187814</v>
      </c>
    </row>
    <row r="404" spans="1:3" x14ac:dyDescent="0.15">
      <c r="A404" s="22">
        <v>41716</v>
      </c>
      <c r="B404">
        <v>3373.98</v>
      </c>
      <c r="C404">
        <f t="shared" si="6"/>
        <v>1.3838222265971061</v>
      </c>
    </row>
    <row r="405" spans="1:3" x14ac:dyDescent="0.15">
      <c r="A405" s="22">
        <v>41717</v>
      </c>
      <c r="B405">
        <v>3353.29</v>
      </c>
      <c r="C405">
        <f t="shared" si="6"/>
        <v>1.3753363191915216</v>
      </c>
    </row>
    <row r="406" spans="1:3" x14ac:dyDescent="0.15">
      <c r="A406" s="22">
        <v>41718</v>
      </c>
      <c r="B406">
        <v>3373.6</v>
      </c>
      <c r="C406">
        <f t="shared" si="6"/>
        <v>1.3836663713620108</v>
      </c>
    </row>
    <row r="407" spans="1:3" x14ac:dyDescent="0.15">
      <c r="A407" s="22">
        <v>41719</v>
      </c>
      <c r="B407">
        <v>3363.72</v>
      </c>
      <c r="C407">
        <f t="shared" si="6"/>
        <v>1.3796141352495324</v>
      </c>
    </row>
    <row r="408" spans="1:3" x14ac:dyDescent="0.15">
      <c r="A408" s="22">
        <v>41722</v>
      </c>
      <c r="B408">
        <v>3347.36</v>
      </c>
      <c r="C408">
        <f t="shared" si="6"/>
        <v>1.3729041572333236</v>
      </c>
    </row>
    <row r="409" spans="1:3" x14ac:dyDescent="0.15">
      <c r="A409" s="22">
        <v>41723</v>
      </c>
      <c r="B409">
        <v>3362.44</v>
      </c>
      <c r="C409">
        <f t="shared" si="6"/>
        <v>1.3790891491944746</v>
      </c>
    </row>
    <row r="410" spans="1:3" x14ac:dyDescent="0.15">
      <c r="A410" s="22">
        <v>41724</v>
      </c>
      <c r="B410">
        <v>3339</v>
      </c>
      <c r="C410">
        <f t="shared" si="6"/>
        <v>1.3694753420612267</v>
      </c>
    </row>
    <row r="411" spans="1:3" x14ac:dyDescent="0.15">
      <c r="A411" s="22">
        <v>41725</v>
      </c>
      <c r="B411">
        <v>3333.23</v>
      </c>
      <c r="C411">
        <f t="shared" si="6"/>
        <v>1.3671088033599108</v>
      </c>
    </row>
    <row r="412" spans="1:3" x14ac:dyDescent="0.15">
      <c r="A412" s="22">
        <v>41726</v>
      </c>
      <c r="B412">
        <v>3348.83</v>
      </c>
      <c r="C412">
        <f t="shared" si="6"/>
        <v>1.3735070709059292</v>
      </c>
    </row>
    <row r="413" spans="1:3" x14ac:dyDescent="0.15">
      <c r="A413" s="22">
        <v>41729</v>
      </c>
      <c r="B413">
        <v>3375.51</v>
      </c>
      <c r="C413">
        <f t="shared" si="6"/>
        <v>1.3844497489910426</v>
      </c>
    </row>
    <row r="414" spans="1:3" x14ac:dyDescent="0.15">
      <c r="A414" s="22">
        <v>41730</v>
      </c>
      <c r="B414">
        <v>3399.51</v>
      </c>
      <c r="C414">
        <f t="shared" si="6"/>
        <v>1.3942932375233785</v>
      </c>
    </row>
    <row r="415" spans="1:3" x14ac:dyDescent="0.15">
      <c r="A415" s="22">
        <v>41731</v>
      </c>
      <c r="B415">
        <v>3409.8</v>
      </c>
      <c r="C415">
        <f t="shared" si="6"/>
        <v>1.3985136332316175</v>
      </c>
    </row>
    <row r="416" spans="1:3" x14ac:dyDescent="0.15">
      <c r="A416" s="22">
        <v>41732</v>
      </c>
      <c r="B416">
        <v>3406</v>
      </c>
      <c r="C416">
        <f t="shared" si="6"/>
        <v>1.3969550808806641</v>
      </c>
    </row>
    <row r="417" spans="1:3" x14ac:dyDescent="0.15">
      <c r="A417" s="22">
        <v>41733</v>
      </c>
      <c r="B417">
        <v>3363.41</v>
      </c>
      <c r="C417">
        <f t="shared" si="6"/>
        <v>1.3794869901893232</v>
      </c>
    </row>
    <row r="418" spans="1:3" x14ac:dyDescent="0.15">
      <c r="A418" s="22">
        <v>41736</v>
      </c>
      <c r="B418">
        <v>3327.27</v>
      </c>
      <c r="C418">
        <f t="shared" si="6"/>
        <v>1.3646643370410474</v>
      </c>
    </row>
    <row r="419" spans="1:3" x14ac:dyDescent="0.15">
      <c r="A419" s="22">
        <v>41737</v>
      </c>
      <c r="B419">
        <v>3340.84</v>
      </c>
      <c r="C419">
        <f t="shared" si="6"/>
        <v>1.3702300095153723</v>
      </c>
    </row>
    <row r="420" spans="1:3" x14ac:dyDescent="0.15">
      <c r="A420" s="22">
        <v>41738</v>
      </c>
      <c r="B420">
        <v>3377.61</v>
      </c>
      <c r="C420">
        <f t="shared" si="6"/>
        <v>1.3853110542376219</v>
      </c>
    </row>
    <row r="421" spans="1:3" x14ac:dyDescent="0.15">
      <c r="A421" s="22">
        <v>41739</v>
      </c>
      <c r="B421">
        <v>3307.08</v>
      </c>
      <c r="C421">
        <f t="shared" si="6"/>
        <v>1.3563835023132198</v>
      </c>
    </row>
    <row r="422" spans="1:3" x14ac:dyDescent="0.15">
      <c r="A422" s="22">
        <v>41740</v>
      </c>
      <c r="B422">
        <v>3276.04</v>
      </c>
      <c r="C422">
        <f t="shared" si="6"/>
        <v>1.3436525904780654</v>
      </c>
    </row>
    <row r="423" spans="1:3" x14ac:dyDescent="0.15">
      <c r="A423" s="22">
        <v>41743</v>
      </c>
      <c r="B423">
        <v>3302.98</v>
      </c>
      <c r="C423">
        <f t="shared" si="6"/>
        <v>1.3547019063556125</v>
      </c>
    </row>
    <row r="424" spans="1:3" x14ac:dyDescent="0.15">
      <c r="A424" s="22">
        <v>41744</v>
      </c>
      <c r="B424">
        <v>3325.3</v>
      </c>
      <c r="C424">
        <f t="shared" si="6"/>
        <v>1.3638563506906849</v>
      </c>
    </row>
    <row r="425" spans="1:3" x14ac:dyDescent="0.15">
      <c r="A425" s="22">
        <v>41745</v>
      </c>
      <c r="B425">
        <v>3360.27</v>
      </c>
      <c r="C425">
        <f t="shared" si="6"/>
        <v>1.3781991337730093</v>
      </c>
    </row>
    <row r="426" spans="1:3" x14ac:dyDescent="0.15">
      <c r="A426" s="22">
        <v>41746</v>
      </c>
      <c r="B426">
        <v>3365</v>
      </c>
      <c r="C426">
        <f t="shared" si="6"/>
        <v>1.3801391213045904</v>
      </c>
    </row>
    <row r="427" spans="1:3" x14ac:dyDescent="0.15">
      <c r="A427" s="22">
        <v>41750</v>
      </c>
      <c r="B427">
        <v>3377.75</v>
      </c>
      <c r="C427">
        <f t="shared" si="6"/>
        <v>1.3853684745873938</v>
      </c>
    </row>
    <row r="428" spans="1:3" x14ac:dyDescent="0.15">
      <c r="A428" s="22">
        <v>41751</v>
      </c>
      <c r="B428">
        <v>3391.58</v>
      </c>
      <c r="C428">
        <f t="shared" si="6"/>
        <v>1.3910407848541524</v>
      </c>
    </row>
    <row r="429" spans="1:3" x14ac:dyDescent="0.15">
      <c r="A429" s="22">
        <v>41752</v>
      </c>
      <c r="B429">
        <v>3384.5</v>
      </c>
      <c r="C429">
        <f t="shared" si="6"/>
        <v>1.3881369557371133</v>
      </c>
    </row>
    <row r="430" spans="1:3" x14ac:dyDescent="0.15">
      <c r="A430" s="22">
        <v>41753</v>
      </c>
      <c r="B430">
        <v>3390.39</v>
      </c>
      <c r="C430">
        <f t="shared" si="6"/>
        <v>1.3905527118810908</v>
      </c>
    </row>
    <row r="431" spans="1:3" x14ac:dyDescent="0.15">
      <c r="A431" s="22">
        <v>41754</v>
      </c>
      <c r="B431">
        <v>3362.95</v>
      </c>
      <c r="C431">
        <f t="shared" si="6"/>
        <v>1.3792983233257867</v>
      </c>
    </row>
    <row r="432" spans="1:3" x14ac:dyDescent="0.15">
      <c r="A432" s="22">
        <v>41757</v>
      </c>
      <c r="B432">
        <v>3374.04</v>
      </c>
      <c r="C432">
        <f t="shared" si="6"/>
        <v>1.383846835318437</v>
      </c>
    </row>
    <row r="433" spans="1:3" x14ac:dyDescent="0.15">
      <c r="A433" s="22">
        <v>41758</v>
      </c>
      <c r="B433">
        <v>3390.16</v>
      </c>
      <c r="C433">
        <f t="shared" si="6"/>
        <v>1.3904583784493225</v>
      </c>
    </row>
    <row r="434" spans="1:3" x14ac:dyDescent="0.15">
      <c r="A434" s="22">
        <v>41759</v>
      </c>
      <c r="B434">
        <v>3400.46</v>
      </c>
      <c r="C434">
        <f t="shared" si="6"/>
        <v>1.3946828756111167</v>
      </c>
    </row>
    <row r="435" spans="1:3" x14ac:dyDescent="0.15">
      <c r="A435" s="22">
        <v>41760</v>
      </c>
      <c r="B435">
        <v>3400.2</v>
      </c>
      <c r="C435">
        <f t="shared" si="6"/>
        <v>1.394576237818683</v>
      </c>
    </row>
    <row r="436" spans="1:3" x14ac:dyDescent="0.15">
      <c r="A436" s="22">
        <v>41761</v>
      </c>
      <c r="B436">
        <v>3395.61</v>
      </c>
      <c r="C436">
        <f t="shared" si="6"/>
        <v>1.3926936706368738</v>
      </c>
    </row>
    <row r="437" spans="1:3" x14ac:dyDescent="0.15">
      <c r="A437" s="22">
        <v>41764</v>
      </c>
      <c r="B437">
        <v>3402.23</v>
      </c>
      <c r="C437">
        <f t="shared" si="6"/>
        <v>1.3954088328903764</v>
      </c>
    </row>
    <row r="438" spans="1:3" x14ac:dyDescent="0.15">
      <c r="A438" s="22">
        <v>41765</v>
      </c>
      <c r="B438">
        <v>3371.72</v>
      </c>
      <c r="C438">
        <f t="shared" si="6"/>
        <v>1.3828952980936444</v>
      </c>
    </row>
    <row r="439" spans="1:3" x14ac:dyDescent="0.15">
      <c r="A439" s="22">
        <v>41766</v>
      </c>
      <c r="B439">
        <v>3392.1</v>
      </c>
      <c r="C439">
        <f t="shared" si="6"/>
        <v>1.3912540604390196</v>
      </c>
    </row>
    <row r="440" spans="1:3" x14ac:dyDescent="0.15">
      <c r="A440" s="22">
        <v>41767</v>
      </c>
      <c r="B440">
        <v>3388.29</v>
      </c>
      <c r="C440">
        <f t="shared" si="6"/>
        <v>1.3896914066345114</v>
      </c>
    </row>
    <row r="441" spans="1:3" x14ac:dyDescent="0.15">
      <c r="A441" s="22">
        <v>41768</v>
      </c>
      <c r="B441">
        <v>3394.05</v>
      </c>
      <c r="C441">
        <f t="shared" si="6"/>
        <v>1.392053843882272</v>
      </c>
    </row>
    <row r="442" spans="1:3" x14ac:dyDescent="0.15">
      <c r="A442" s="22">
        <v>41771</v>
      </c>
      <c r="B442">
        <v>3427.01</v>
      </c>
      <c r="C442">
        <f t="shared" si="6"/>
        <v>1.4055722348000133</v>
      </c>
    </row>
    <row r="443" spans="1:3" x14ac:dyDescent="0.15">
      <c r="A443" s="22">
        <v>41772</v>
      </c>
      <c r="B443">
        <v>3429.3</v>
      </c>
      <c r="C443">
        <f t="shared" si="6"/>
        <v>1.4065114676641404</v>
      </c>
    </row>
    <row r="444" spans="1:3" x14ac:dyDescent="0.15">
      <c r="A444" s="22">
        <v>41773</v>
      </c>
      <c r="B444">
        <v>3413.84</v>
      </c>
      <c r="C444">
        <f t="shared" si="6"/>
        <v>1.4001706204678939</v>
      </c>
    </row>
    <row r="445" spans="1:3" x14ac:dyDescent="0.15">
      <c r="A445" s="22">
        <v>41774</v>
      </c>
      <c r="B445">
        <v>3382.52</v>
      </c>
      <c r="C445">
        <f t="shared" si="6"/>
        <v>1.3873248679331955</v>
      </c>
    </row>
    <row r="446" spans="1:3" x14ac:dyDescent="0.15">
      <c r="A446" s="22">
        <v>41775</v>
      </c>
      <c r="B446">
        <v>3395.21</v>
      </c>
      <c r="C446">
        <f t="shared" si="6"/>
        <v>1.3925296124946682</v>
      </c>
    </row>
    <row r="447" spans="1:3" x14ac:dyDescent="0.15">
      <c r="A447" s="22">
        <v>41778</v>
      </c>
      <c r="B447">
        <v>3408.52</v>
      </c>
      <c r="C447">
        <f t="shared" si="6"/>
        <v>1.3979886471765595</v>
      </c>
    </row>
    <row r="448" spans="1:3" x14ac:dyDescent="0.15">
      <c r="A448" s="22">
        <v>41779</v>
      </c>
      <c r="B448">
        <v>3386.48</v>
      </c>
      <c r="C448">
        <f t="shared" si="6"/>
        <v>1.388949043541031</v>
      </c>
    </row>
    <row r="449" spans="1:3" x14ac:dyDescent="0.15">
      <c r="A449" s="22">
        <v>41780</v>
      </c>
      <c r="B449">
        <v>3414.45</v>
      </c>
      <c r="C449">
        <f t="shared" si="6"/>
        <v>1.4004208091347574</v>
      </c>
    </row>
    <row r="450" spans="1:3" x14ac:dyDescent="0.15">
      <c r="A450" s="22">
        <v>41781</v>
      </c>
      <c r="B450">
        <v>3422.99</v>
      </c>
      <c r="C450">
        <f t="shared" ref="C450:C513" si="7">(B450 / $B$2)</f>
        <v>1.4039234504708469</v>
      </c>
    </row>
    <row r="451" spans="1:3" x14ac:dyDescent="0.15">
      <c r="A451" s="22">
        <v>41782</v>
      </c>
      <c r="B451">
        <v>3437.58</v>
      </c>
      <c r="C451">
        <f t="shared" si="7"/>
        <v>1.4099074712077961</v>
      </c>
    </row>
    <row r="452" spans="1:3" x14ac:dyDescent="0.15">
      <c r="A452" s="22">
        <v>41786</v>
      </c>
      <c r="B452">
        <v>3458.19</v>
      </c>
      <c r="C452">
        <f t="shared" si="7"/>
        <v>1.4183605669849395</v>
      </c>
    </row>
    <row r="453" spans="1:3" x14ac:dyDescent="0.15">
      <c r="A453" s="22">
        <v>41787</v>
      </c>
      <c r="B453">
        <v>3454.88</v>
      </c>
      <c r="C453">
        <f t="shared" si="7"/>
        <v>1.4170029858581883</v>
      </c>
    </row>
    <row r="454" spans="1:3" x14ac:dyDescent="0.15">
      <c r="A454" s="22">
        <v>41788</v>
      </c>
      <c r="B454">
        <v>3473.86</v>
      </c>
      <c r="C454">
        <f t="shared" si="7"/>
        <v>1.4247875447058438</v>
      </c>
    </row>
    <row r="455" spans="1:3" x14ac:dyDescent="0.15">
      <c r="A455" s="22">
        <v>41789</v>
      </c>
      <c r="B455">
        <v>3480.29</v>
      </c>
      <c r="C455">
        <f t="shared" si="7"/>
        <v>1.4274247793417989</v>
      </c>
    </row>
    <row r="456" spans="1:3" x14ac:dyDescent="0.15">
      <c r="A456" s="22">
        <v>41792</v>
      </c>
      <c r="B456">
        <v>3483.14</v>
      </c>
      <c r="C456">
        <f t="shared" si="7"/>
        <v>1.4285936936050136</v>
      </c>
    </row>
    <row r="457" spans="1:3" x14ac:dyDescent="0.15">
      <c r="A457" s="22">
        <v>41793</v>
      </c>
      <c r="B457">
        <v>3482</v>
      </c>
      <c r="C457">
        <f t="shared" si="7"/>
        <v>1.4281261278997277</v>
      </c>
    </row>
    <row r="458" spans="1:3" x14ac:dyDescent="0.15">
      <c r="A458" s="22">
        <v>41794</v>
      </c>
      <c r="B458">
        <v>3489.21</v>
      </c>
      <c r="C458">
        <f t="shared" si="7"/>
        <v>1.4310832759129837</v>
      </c>
    </row>
    <row r="459" spans="1:3" x14ac:dyDescent="0.15">
      <c r="A459" s="22">
        <v>41795</v>
      </c>
      <c r="B459">
        <v>3512.21</v>
      </c>
      <c r="C459">
        <f t="shared" si="7"/>
        <v>1.4405166190898056</v>
      </c>
    </row>
    <row r="460" spans="1:3" x14ac:dyDescent="0.15">
      <c r="A460" s="22">
        <v>41796</v>
      </c>
      <c r="B460">
        <v>3528.98</v>
      </c>
      <c r="C460">
        <f t="shared" si="7"/>
        <v>1.4473947567017753</v>
      </c>
    </row>
    <row r="461" spans="1:3" x14ac:dyDescent="0.15">
      <c r="A461" s="22">
        <v>41799</v>
      </c>
      <c r="B461">
        <v>3532.47</v>
      </c>
      <c r="C461">
        <f t="shared" si="7"/>
        <v>1.4488261639925188</v>
      </c>
    </row>
    <row r="462" spans="1:3" x14ac:dyDescent="0.15">
      <c r="A462" s="22">
        <v>41800</v>
      </c>
      <c r="B462">
        <v>3531.62</v>
      </c>
      <c r="C462">
        <f t="shared" si="7"/>
        <v>1.4484775404403321</v>
      </c>
    </row>
    <row r="463" spans="1:3" x14ac:dyDescent="0.15">
      <c r="A463" s="22">
        <v>41801</v>
      </c>
      <c r="B463">
        <v>3519.52</v>
      </c>
      <c r="C463">
        <f t="shared" si="7"/>
        <v>1.4435147816386129</v>
      </c>
    </row>
    <row r="464" spans="1:3" x14ac:dyDescent="0.15">
      <c r="A464" s="22">
        <v>41802</v>
      </c>
      <c r="B464">
        <v>3495.57</v>
      </c>
      <c r="C464">
        <f t="shared" si="7"/>
        <v>1.4336918003740526</v>
      </c>
    </row>
    <row r="465" spans="1:3" x14ac:dyDescent="0.15">
      <c r="A465" s="22">
        <v>41803</v>
      </c>
      <c r="B465">
        <v>3506.58</v>
      </c>
      <c r="C465">
        <f t="shared" si="7"/>
        <v>1.4382075007382618</v>
      </c>
    </row>
    <row r="466" spans="1:3" x14ac:dyDescent="0.15">
      <c r="A466" s="22">
        <v>41806</v>
      </c>
      <c r="B466">
        <v>3509.54</v>
      </c>
      <c r="C466">
        <f t="shared" si="7"/>
        <v>1.4394215309905831</v>
      </c>
    </row>
    <row r="467" spans="1:3" x14ac:dyDescent="0.15">
      <c r="A467" s="22">
        <v>41807</v>
      </c>
      <c r="B467">
        <v>3517.23</v>
      </c>
      <c r="C467">
        <f t="shared" si="7"/>
        <v>1.4425755487744858</v>
      </c>
    </row>
    <row r="468" spans="1:3" x14ac:dyDescent="0.15">
      <c r="A468" s="22">
        <v>41808</v>
      </c>
      <c r="B468">
        <v>3544.42</v>
      </c>
      <c r="C468">
        <f t="shared" si="7"/>
        <v>1.4537274009909114</v>
      </c>
    </row>
    <row r="469" spans="1:3" x14ac:dyDescent="0.15">
      <c r="A469" s="22">
        <v>41809</v>
      </c>
      <c r="B469">
        <v>3549.44</v>
      </c>
      <c r="C469">
        <f t="shared" si="7"/>
        <v>1.4557863306755916</v>
      </c>
    </row>
    <row r="470" spans="1:3" x14ac:dyDescent="0.15">
      <c r="A470" s="22">
        <v>41810</v>
      </c>
      <c r="B470">
        <v>3555.6</v>
      </c>
      <c r="C470">
        <f t="shared" si="7"/>
        <v>1.4583128260655578</v>
      </c>
    </row>
    <row r="471" spans="1:3" x14ac:dyDescent="0.15">
      <c r="A471" s="22">
        <v>41813</v>
      </c>
      <c r="B471">
        <v>3555.14</v>
      </c>
      <c r="C471">
        <f t="shared" si="7"/>
        <v>1.4581241592020213</v>
      </c>
    </row>
    <row r="472" spans="1:3" x14ac:dyDescent="0.15">
      <c r="A472" s="22">
        <v>41814</v>
      </c>
      <c r="B472">
        <v>3532.57</v>
      </c>
      <c r="C472">
        <f t="shared" si="7"/>
        <v>1.4488671785280705</v>
      </c>
    </row>
    <row r="473" spans="1:3" x14ac:dyDescent="0.15">
      <c r="A473" s="22">
        <v>41815</v>
      </c>
      <c r="B473">
        <v>3549.96</v>
      </c>
      <c r="C473">
        <f t="shared" si="7"/>
        <v>1.4559996062604588</v>
      </c>
    </row>
    <row r="474" spans="1:3" x14ac:dyDescent="0.15">
      <c r="A474" s="22">
        <v>41816</v>
      </c>
      <c r="B474">
        <v>3546.38</v>
      </c>
      <c r="C474">
        <f t="shared" si="7"/>
        <v>1.4545312858877188</v>
      </c>
    </row>
    <row r="475" spans="1:3" x14ac:dyDescent="0.15">
      <c r="A475" s="22">
        <v>41817</v>
      </c>
      <c r="B475">
        <v>3553.35</v>
      </c>
      <c r="C475">
        <f t="shared" si="7"/>
        <v>1.4573899990156511</v>
      </c>
    </row>
    <row r="476" spans="1:3" x14ac:dyDescent="0.15">
      <c r="A476" s="22">
        <v>41820</v>
      </c>
      <c r="B476">
        <v>3552.18</v>
      </c>
      <c r="C476">
        <f t="shared" si="7"/>
        <v>1.4569101289496997</v>
      </c>
    </row>
    <row r="477" spans="1:3" x14ac:dyDescent="0.15">
      <c r="A477" s="22">
        <v>41821</v>
      </c>
      <c r="B477">
        <v>3576.55</v>
      </c>
      <c r="C477">
        <f t="shared" si="7"/>
        <v>1.466905371263576</v>
      </c>
    </row>
    <row r="478" spans="1:3" x14ac:dyDescent="0.15">
      <c r="A478" s="22">
        <v>41822</v>
      </c>
      <c r="B478">
        <v>3579.11</v>
      </c>
      <c r="C478">
        <f t="shared" si="7"/>
        <v>1.4679553433736918</v>
      </c>
    </row>
    <row r="479" spans="1:3" x14ac:dyDescent="0.15">
      <c r="A479" s="22">
        <v>41823</v>
      </c>
      <c r="B479">
        <v>3598.73</v>
      </c>
      <c r="C479">
        <f t="shared" si="7"/>
        <v>1.4760023952488763</v>
      </c>
    </row>
    <row r="480" spans="1:3" x14ac:dyDescent="0.15">
      <c r="A480" s="22">
        <v>41827</v>
      </c>
      <c r="B480">
        <v>3584.75</v>
      </c>
      <c r="C480">
        <f t="shared" si="7"/>
        <v>1.4702685631787906</v>
      </c>
    </row>
    <row r="481" spans="1:3" x14ac:dyDescent="0.15">
      <c r="A481" s="22">
        <v>41828</v>
      </c>
      <c r="B481">
        <v>3560.53</v>
      </c>
      <c r="C481">
        <f t="shared" si="7"/>
        <v>1.4603348426682419</v>
      </c>
    </row>
    <row r="482" spans="1:3" x14ac:dyDescent="0.15">
      <c r="A482" s="22">
        <v>41829</v>
      </c>
      <c r="B482">
        <v>3577.28</v>
      </c>
      <c r="C482">
        <f t="shared" si="7"/>
        <v>1.4672047773731012</v>
      </c>
    </row>
    <row r="483" spans="1:3" x14ac:dyDescent="0.15">
      <c r="A483" s="22">
        <v>41830</v>
      </c>
      <c r="B483">
        <v>3562.49</v>
      </c>
      <c r="C483">
        <f t="shared" si="7"/>
        <v>1.4611387275650491</v>
      </c>
    </row>
    <row r="484" spans="1:3" x14ac:dyDescent="0.15">
      <c r="A484" s="22">
        <v>41831</v>
      </c>
      <c r="B484">
        <v>3568.08</v>
      </c>
      <c r="C484">
        <f t="shared" si="7"/>
        <v>1.4634314401023722</v>
      </c>
    </row>
    <row r="485" spans="1:3" x14ac:dyDescent="0.15">
      <c r="A485" s="22">
        <v>41834</v>
      </c>
      <c r="B485">
        <v>3585.37</v>
      </c>
      <c r="C485">
        <f t="shared" si="7"/>
        <v>1.4705228532992092</v>
      </c>
    </row>
    <row r="486" spans="1:3" x14ac:dyDescent="0.15">
      <c r="A486" s="22">
        <v>41835</v>
      </c>
      <c r="B486">
        <v>3578.46</v>
      </c>
      <c r="C486">
        <f t="shared" si="7"/>
        <v>1.4676887488926076</v>
      </c>
    </row>
    <row r="487" spans="1:3" x14ac:dyDescent="0.15">
      <c r="A487" s="22">
        <v>41836</v>
      </c>
      <c r="B487">
        <v>3593.91</v>
      </c>
      <c r="C487">
        <f t="shared" si="7"/>
        <v>1.4740254946352989</v>
      </c>
    </row>
    <row r="488" spans="1:3" x14ac:dyDescent="0.15">
      <c r="A488" s="22">
        <v>41837</v>
      </c>
      <c r="B488">
        <v>3551.73</v>
      </c>
      <c r="C488">
        <f t="shared" si="7"/>
        <v>1.4567255635397185</v>
      </c>
    </row>
    <row r="489" spans="1:3" x14ac:dyDescent="0.15">
      <c r="A489" s="22">
        <v>41838</v>
      </c>
      <c r="B489">
        <v>3588.21</v>
      </c>
      <c r="C489">
        <f t="shared" si="7"/>
        <v>1.4716876661088691</v>
      </c>
    </row>
    <row r="490" spans="1:3" x14ac:dyDescent="0.15">
      <c r="A490" s="22">
        <v>41841</v>
      </c>
      <c r="B490">
        <v>3579.99</v>
      </c>
      <c r="C490">
        <f t="shared" si="7"/>
        <v>1.4683162712865439</v>
      </c>
    </row>
    <row r="491" spans="1:3" x14ac:dyDescent="0.15">
      <c r="A491" s="22">
        <v>41842</v>
      </c>
      <c r="B491">
        <v>3597.95</v>
      </c>
      <c r="C491">
        <f t="shared" si="7"/>
        <v>1.4756824818715752</v>
      </c>
    </row>
    <row r="492" spans="1:3" x14ac:dyDescent="0.15">
      <c r="A492" s="22">
        <v>41843</v>
      </c>
      <c r="B492">
        <v>3604.3</v>
      </c>
      <c r="C492">
        <f t="shared" si="7"/>
        <v>1.4782869048790892</v>
      </c>
    </row>
    <row r="493" spans="1:3" x14ac:dyDescent="0.15">
      <c r="A493" s="22">
        <v>41844</v>
      </c>
      <c r="B493">
        <v>3606.1</v>
      </c>
      <c r="C493">
        <f t="shared" si="7"/>
        <v>1.4790251665190144</v>
      </c>
    </row>
    <row r="494" spans="1:3" x14ac:dyDescent="0.15">
      <c r="A494" s="22">
        <v>41845</v>
      </c>
      <c r="B494">
        <v>3588.68</v>
      </c>
      <c r="C494">
        <f t="shared" si="7"/>
        <v>1.4718804344259606</v>
      </c>
    </row>
    <row r="495" spans="1:3" x14ac:dyDescent="0.15">
      <c r="A495" s="22">
        <v>41848</v>
      </c>
      <c r="B495">
        <v>3589.73</v>
      </c>
      <c r="C495">
        <f t="shared" si="7"/>
        <v>1.4723110870492504</v>
      </c>
    </row>
    <row r="496" spans="1:3" x14ac:dyDescent="0.15">
      <c r="A496" s="22">
        <v>41849</v>
      </c>
      <c r="B496">
        <v>3573.65</v>
      </c>
      <c r="C496">
        <f t="shared" si="7"/>
        <v>1.4657159497325853</v>
      </c>
    </row>
    <row r="497" spans="1:3" x14ac:dyDescent="0.15">
      <c r="A497" s="22">
        <v>41850</v>
      </c>
      <c r="B497">
        <v>3574.45</v>
      </c>
      <c r="C497">
        <f t="shared" si="7"/>
        <v>1.4660440660169964</v>
      </c>
    </row>
    <row r="498" spans="1:3" x14ac:dyDescent="0.15">
      <c r="A498" s="22">
        <v>41851</v>
      </c>
      <c r="B498">
        <v>3503.19</v>
      </c>
      <c r="C498">
        <f t="shared" si="7"/>
        <v>1.4368171079830694</v>
      </c>
    </row>
    <row r="499" spans="1:3" x14ac:dyDescent="0.15">
      <c r="A499" s="22">
        <v>41852</v>
      </c>
      <c r="B499">
        <v>3493.18</v>
      </c>
      <c r="C499">
        <f t="shared" si="7"/>
        <v>1.4327115529743741</v>
      </c>
    </row>
    <row r="500" spans="1:3" x14ac:dyDescent="0.15">
      <c r="A500" s="22">
        <v>41855</v>
      </c>
      <c r="B500">
        <v>3518.31</v>
      </c>
      <c r="C500">
        <f t="shared" si="7"/>
        <v>1.4430185057584408</v>
      </c>
    </row>
    <row r="501" spans="1:3" x14ac:dyDescent="0.15">
      <c r="A501" s="22">
        <v>41856</v>
      </c>
      <c r="B501">
        <v>3484.56</v>
      </c>
      <c r="C501">
        <f t="shared" si="7"/>
        <v>1.4291761000098435</v>
      </c>
    </row>
    <row r="502" spans="1:3" x14ac:dyDescent="0.15">
      <c r="A502" s="22">
        <v>41857</v>
      </c>
      <c r="B502">
        <v>3485.67</v>
      </c>
      <c r="C502">
        <f t="shared" si="7"/>
        <v>1.4296313613544642</v>
      </c>
    </row>
    <row r="503" spans="1:3" x14ac:dyDescent="0.15">
      <c r="A503" s="22">
        <v>41858</v>
      </c>
      <c r="B503">
        <v>3467.14</v>
      </c>
      <c r="C503">
        <f t="shared" si="7"/>
        <v>1.4220313679167897</v>
      </c>
    </row>
    <row r="504" spans="1:3" x14ac:dyDescent="0.15">
      <c r="A504" s="22">
        <v>41859</v>
      </c>
      <c r="B504">
        <v>3507.21</v>
      </c>
      <c r="C504">
        <f t="shared" si="7"/>
        <v>1.4384658923122355</v>
      </c>
    </row>
    <row r="505" spans="1:3" x14ac:dyDescent="0.15">
      <c r="A505" s="22">
        <v>41862</v>
      </c>
      <c r="B505">
        <v>3517.53</v>
      </c>
      <c r="C505">
        <f t="shared" si="7"/>
        <v>1.44269859238114</v>
      </c>
    </row>
    <row r="506" spans="1:3" x14ac:dyDescent="0.15">
      <c r="A506" s="22">
        <v>41863</v>
      </c>
      <c r="B506">
        <v>3511.96</v>
      </c>
      <c r="C506">
        <f t="shared" si="7"/>
        <v>1.4404140827509271</v>
      </c>
    </row>
    <row r="507" spans="1:3" x14ac:dyDescent="0.15">
      <c r="A507" s="22">
        <v>41864</v>
      </c>
      <c r="B507">
        <v>3536.42</v>
      </c>
      <c r="C507">
        <f t="shared" si="7"/>
        <v>1.4504462381467993</v>
      </c>
    </row>
    <row r="508" spans="1:3" x14ac:dyDescent="0.15">
      <c r="A508" s="22">
        <v>41865</v>
      </c>
      <c r="B508">
        <v>3551.97</v>
      </c>
      <c r="C508">
        <f t="shared" si="7"/>
        <v>1.4568239984250417</v>
      </c>
    </row>
    <row r="509" spans="1:3" x14ac:dyDescent="0.15">
      <c r="A509" s="22">
        <v>41866</v>
      </c>
      <c r="B509">
        <v>3552.17</v>
      </c>
      <c r="C509">
        <f t="shared" si="7"/>
        <v>1.4569060274961447</v>
      </c>
    </row>
    <row r="510" spans="1:3" x14ac:dyDescent="0.15">
      <c r="A510" s="22">
        <v>41869</v>
      </c>
      <c r="B510">
        <v>3582.7</v>
      </c>
      <c r="C510">
        <f t="shared" si="7"/>
        <v>1.469427765199987</v>
      </c>
    </row>
    <row r="511" spans="1:3" x14ac:dyDescent="0.15">
      <c r="A511" s="22">
        <v>41870</v>
      </c>
      <c r="B511">
        <v>3601.33</v>
      </c>
      <c r="C511">
        <f t="shared" si="7"/>
        <v>1.4770687731732126</v>
      </c>
    </row>
    <row r="512" spans="1:3" x14ac:dyDescent="0.15">
      <c r="A512" s="22">
        <v>41871</v>
      </c>
      <c r="B512">
        <v>3610.49</v>
      </c>
      <c r="C512">
        <f t="shared" si="7"/>
        <v>1.4808257046297209</v>
      </c>
    </row>
    <row r="513" spans="1:3" x14ac:dyDescent="0.15">
      <c r="A513" s="22">
        <v>41872</v>
      </c>
      <c r="B513">
        <v>3621.23</v>
      </c>
      <c r="C513">
        <f t="shared" si="7"/>
        <v>1.4852306657479413</v>
      </c>
    </row>
    <row r="514" spans="1:3" x14ac:dyDescent="0.15">
      <c r="A514" s="22">
        <v>41873</v>
      </c>
      <c r="B514">
        <v>3614.5</v>
      </c>
      <c r="C514">
        <f t="shared" ref="C514:C577" si="8">(B514 / $B$2)</f>
        <v>1.482470387505332</v>
      </c>
    </row>
    <row r="515" spans="1:3" x14ac:dyDescent="0.15">
      <c r="A515" s="22">
        <v>41876</v>
      </c>
      <c r="B515">
        <v>3631.86</v>
      </c>
      <c r="C515">
        <f t="shared" si="8"/>
        <v>1.4895905108770551</v>
      </c>
    </row>
    <row r="516" spans="1:3" x14ac:dyDescent="0.15">
      <c r="A516" s="22">
        <v>41877</v>
      </c>
      <c r="B516">
        <v>3635.71</v>
      </c>
      <c r="C516">
        <f t="shared" si="8"/>
        <v>1.4911695704957839</v>
      </c>
    </row>
    <row r="517" spans="1:3" x14ac:dyDescent="0.15">
      <c r="A517" s="22">
        <v>41878</v>
      </c>
      <c r="B517">
        <v>3636.64</v>
      </c>
      <c r="C517">
        <f t="shared" si="8"/>
        <v>1.4915510056764119</v>
      </c>
    </row>
    <row r="518" spans="1:3" x14ac:dyDescent="0.15">
      <c r="A518" s="22">
        <v>41879</v>
      </c>
      <c r="B518">
        <v>3630.98</v>
      </c>
      <c r="C518">
        <f t="shared" si="8"/>
        <v>1.4892295829642026</v>
      </c>
    </row>
    <row r="519" spans="1:3" x14ac:dyDescent="0.15">
      <c r="A519" s="22">
        <v>41880</v>
      </c>
      <c r="B519">
        <v>3643.34</v>
      </c>
      <c r="C519">
        <f t="shared" si="8"/>
        <v>1.4942989795583557</v>
      </c>
    </row>
    <row r="520" spans="1:3" x14ac:dyDescent="0.15">
      <c r="A520" s="22">
        <v>41884</v>
      </c>
      <c r="B520">
        <v>3641.52</v>
      </c>
      <c r="C520">
        <f t="shared" si="8"/>
        <v>1.49355251501132</v>
      </c>
    </row>
    <row r="521" spans="1:3" x14ac:dyDescent="0.15">
      <c r="A521" s="22">
        <v>41885</v>
      </c>
      <c r="B521">
        <v>3639.35</v>
      </c>
      <c r="C521">
        <f t="shared" si="8"/>
        <v>1.4926624995898548</v>
      </c>
    </row>
    <row r="522" spans="1:3" x14ac:dyDescent="0.15">
      <c r="A522" s="22">
        <v>41886</v>
      </c>
      <c r="B522">
        <v>3633.87</v>
      </c>
      <c r="C522">
        <f t="shared" si="8"/>
        <v>1.490414903041638</v>
      </c>
    </row>
    <row r="523" spans="1:3" x14ac:dyDescent="0.15">
      <c r="A523" s="22">
        <v>41887</v>
      </c>
      <c r="B523">
        <v>3652.26</v>
      </c>
      <c r="C523">
        <f t="shared" si="8"/>
        <v>1.4979574761295404</v>
      </c>
    </row>
    <row r="524" spans="1:3" x14ac:dyDescent="0.15">
      <c r="A524" s="22">
        <v>41890</v>
      </c>
      <c r="B524">
        <v>3641.66</v>
      </c>
      <c r="C524">
        <f t="shared" si="8"/>
        <v>1.4936099353610921</v>
      </c>
    </row>
    <row r="525" spans="1:3" x14ac:dyDescent="0.15">
      <c r="A525" s="22">
        <v>41891</v>
      </c>
      <c r="B525">
        <v>3617.89</v>
      </c>
      <c r="C525">
        <f t="shared" si="8"/>
        <v>1.4838607802605244</v>
      </c>
    </row>
    <row r="526" spans="1:3" x14ac:dyDescent="0.15">
      <c r="A526" s="22">
        <v>41892</v>
      </c>
      <c r="B526">
        <v>3631.45</v>
      </c>
      <c r="C526">
        <f t="shared" si="8"/>
        <v>1.4894223512812941</v>
      </c>
    </row>
    <row r="527" spans="1:3" x14ac:dyDescent="0.15">
      <c r="A527" s="22">
        <v>41893</v>
      </c>
      <c r="B527">
        <v>3635.66</v>
      </c>
      <c r="C527">
        <f t="shared" si="8"/>
        <v>1.491149063228008</v>
      </c>
    </row>
    <row r="528" spans="1:3" x14ac:dyDescent="0.15">
      <c r="A528" s="22">
        <v>41894</v>
      </c>
      <c r="B528">
        <v>3614.06</v>
      </c>
      <c r="C528">
        <f t="shared" si="8"/>
        <v>1.4822899235489058</v>
      </c>
    </row>
    <row r="529" spans="1:3" x14ac:dyDescent="0.15">
      <c r="A529" s="22">
        <v>41897</v>
      </c>
      <c r="B529">
        <v>3611.52</v>
      </c>
      <c r="C529">
        <f t="shared" si="8"/>
        <v>1.4812481543459002</v>
      </c>
    </row>
    <row r="530" spans="1:3" x14ac:dyDescent="0.15">
      <c r="A530" s="22">
        <v>41898</v>
      </c>
      <c r="B530">
        <v>3638.6</v>
      </c>
      <c r="C530">
        <f t="shared" si="8"/>
        <v>1.4923548905732191</v>
      </c>
    </row>
    <row r="531" spans="1:3" x14ac:dyDescent="0.15">
      <c r="A531" s="22">
        <v>41899</v>
      </c>
      <c r="B531">
        <v>3643.4</v>
      </c>
      <c r="C531">
        <f t="shared" si="8"/>
        <v>1.4943235882796864</v>
      </c>
    </row>
    <row r="532" spans="1:3" x14ac:dyDescent="0.15">
      <c r="A532" s="22">
        <v>41900</v>
      </c>
      <c r="B532">
        <v>3661.73</v>
      </c>
      <c r="C532">
        <f t="shared" si="8"/>
        <v>1.5018415526462578</v>
      </c>
    </row>
    <row r="533" spans="1:3" x14ac:dyDescent="0.15">
      <c r="A533" s="22">
        <v>41901</v>
      </c>
      <c r="B533">
        <v>3660.03</v>
      </c>
      <c r="C533">
        <f t="shared" si="8"/>
        <v>1.5011443055418843</v>
      </c>
    </row>
    <row r="534" spans="1:3" x14ac:dyDescent="0.15">
      <c r="A534" s="22">
        <v>41904</v>
      </c>
      <c r="B534">
        <v>3630.7</v>
      </c>
      <c r="C534">
        <f t="shared" si="8"/>
        <v>1.4891147422646587</v>
      </c>
    </row>
    <row r="535" spans="1:3" x14ac:dyDescent="0.15">
      <c r="A535" s="22">
        <v>41905</v>
      </c>
      <c r="B535">
        <v>3610.1</v>
      </c>
      <c r="C535">
        <f t="shared" si="8"/>
        <v>1.4806657479410703</v>
      </c>
    </row>
    <row r="536" spans="1:3" x14ac:dyDescent="0.15">
      <c r="A536" s="22">
        <v>41906</v>
      </c>
      <c r="B536">
        <v>3638.44</v>
      </c>
      <c r="C536">
        <f t="shared" si="8"/>
        <v>1.492289267316337</v>
      </c>
    </row>
    <row r="537" spans="1:3" x14ac:dyDescent="0.15">
      <c r="A537" s="22">
        <v>41907</v>
      </c>
      <c r="B537">
        <v>3579.61</v>
      </c>
      <c r="C537">
        <f t="shared" si="8"/>
        <v>1.4681604160514488</v>
      </c>
    </row>
    <row r="538" spans="1:3" x14ac:dyDescent="0.15">
      <c r="A538" s="22">
        <v>41908</v>
      </c>
      <c r="B538">
        <v>3610.98</v>
      </c>
      <c r="C538">
        <f t="shared" si="8"/>
        <v>1.4810266758539228</v>
      </c>
    </row>
    <row r="539" spans="1:3" x14ac:dyDescent="0.15">
      <c r="A539" s="22">
        <v>41911</v>
      </c>
      <c r="B539">
        <v>3602.09</v>
      </c>
      <c r="C539">
        <f t="shared" si="8"/>
        <v>1.4773804836434035</v>
      </c>
    </row>
    <row r="540" spans="1:3" x14ac:dyDescent="0.15">
      <c r="A540" s="22">
        <v>41912</v>
      </c>
      <c r="B540">
        <v>3592.25</v>
      </c>
      <c r="C540">
        <f t="shared" si="8"/>
        <v>1.4733446533451455</v>
      </c>
    </row>
    <row r="541" spans="1:3" x14ac:dyDescent="0.15">
      <c r="A541" s="22">
        <v>41913</v>
      </c>
      <c r="B541">
        <v>3544.98</v>
      </c>
      <c r="C541">
        <f t="shared" si="8"/>
        <v>1.4539570823899992</v>
      </c>
    </row>
    <row r="542" spans="1:3" x14ac:dyDescent="0.15">
      <c r="A542" s="22">
        <v>41914</v>
      </c>
      <c r="B542">
        <v>3545.3</v>
      </c>
      <c r="C542">
        <f t="shared" si="8"/>
        <v>1.4540883289037636</v>
      </c>
    </row>
    <row r="543" spans="1:3" x14ac:dyDescent="0.15">
      <c r="A543" s="22">
        <v>41915</v>
      </c>
      <c r="B543">
        <v>3584.94</v>
      </c>
      <c r="C543">
        <f t="shared" si="8"/>
        <v>1.4703464907963384</v>
      </c>
    </row>
    <row r="544" spans="1:3" x14ac:dyDescent="0.15">
      <c r="A544" s="22">
        <v>41918</v>
      </c>
      <c r="B544">
        <v>3579.42</v>
      </c>
      <c r="C544">
        <f t="shared" si="8"/>
        <v>1.468082488433901</v>
      </c>
    </row>
    <row r="545" spans="1:3" x14ac:dyDescent="0.15">
      <c r="A545" s="22">
        <v>41919</v>
      </c>
      <c r="B545">
        <v>3525.29</v>
      </c>
      <c r="C545">
        <f t="shared" si="8"/>
        <v>1.4458813203399286</v>
      </c>
    </row>
    <row r="546" spans="1:3" x14ac:dyDescent="0.15">
      <c r="A546" s="22">
        <v>41920</v>
      </c>
      <c r="B546">
        <v>3588.07</v>
      </c>
      <c r="C546">
        <f t="shared" si="8"/>
        <v>1.4716302457590973</v>
      </c>
    </row>
    <row r="547" spans="1:3" x14ac:dyDescent="0.15">
      <c r="A547" s="22">
        <v>41921</v>
      </c>
      <c r="B547">
        <v>3514.12</v>
      </c>
      <c r="C547">
        <f t="shared" si="8"/>
        <v>1.4412999967188371</v>
      </c>
    </row>
    <row r="548" spans="1:3" x14ac:dyDescent="0.15">
      <c r="A548" s="22">
        <v>41922</v>
      </c>
      <c r="B548">
        <v>3474.23</v>
      </c>
      <c r="C548">
        <f t="shared" si="8"/>
        <v>1.4249392984873841</v>
      </c>
    </row>
    <row r="549" spans="1:3" x14ac:dyDescent="0.15">
      <c r="A549" s="22">
        <v>41925</v>
      </c>
      <c r="B549">
        <v>3417.01</v>
      </c>
      <c r="C549">
        <f t="shared" si="8"/>
        <v>1.4014707812448735</v>
      </c>
    </row>
    <row r="550" spans="1:3" x14ac:dyDescent="0.15">
      <c r="A550" s="22">
        <v>41926</v>
      </c>
      <c r="B550">
        <v>3422.43</v>
      </c>
      <c r="C550">
        <f t="shared" si="8"/>
        <v>1.403693769071759</v>
      </c>
    </row>
    <row r="551" spans="1:3" x14ac:dyDescent="0.15">
      <c r="A551" s="22">
        <v>41927</v>
      </c>
      <c r="B551">
        <v>3395.03</v>
      </c>
      <c r="C551">
        <f t="shared" si="8"/>
        <v>1.3924557863306757</v>
      </c>
    </row>
    <row r="552" spans="1:3" x14ac:dyDescent="0.15">
      <c r="A552" s="22">
        <v>41928</v>
      </c>
      <c r="B552">
        <v>3395.64</v>
      </c>
      <c r="C552">
        <f t="shared" si="8"/>
        <v>1.3927059749975392</v>
      </c>
    </row>
    <row r="553" spans="1:3" x14ac:dyDescent="0.15">
      <c r="A553" s="22">
        <v>41929</v>
      </c>
      <c r="B553">
        <v>3439.39</v>
      </c>
      <c r="C553">
        <f t="shared" si="8"/>
        <v>1.4106498343012763</v>
      </c>
    </row>
    <row r="554" spans="1:3" x14ac:dyDescent="0.15">
      <c r="A554" s="22">
        <v>41932</v>
      </c>
      <c r="B554">
        <v>3470.89</v>
      </c>
      <c r="C554">
        <f t="shared" si="8"/>
        <v>1.4235694129999672</v>
      </c>
    </row>
    <row r="555" spans="1:3" x14ac:dyDescent="0.15">
      <c r="A555" s="22">
        <v>41933</v>
      </c>
      <c r="B555">
        <v>3538.9</v>
      </c>
      <c r="C555">
        <f t="shared" si="8"/>
        <v>1.451463398628474</v>
      </c>
    </row>
    <row r="556" spans="1:3" x14ac:dyDescent="0.15">
      <c r="A556" s="22">
        <v>41934</v>
      </c>
      <c r="B556">
        <v>3513.47</v>
      </c>
      <c r="C556">
        <f t="shared" si="8"/>
        <v>1.4410334022377531</v>
      </c>
    </row>
    <row r="557" spans="1:3" x14ac:dyDescent="0.15">
      <c r="A557" s="22">
        <v>41935</v>
      </c>
      <c r="B557">
        <v>3556.7</v>
      </c>
      <c r="C557">
        <f t="shared" si="8"/>
        <v>1.458763985956623</v>
      </c>
    </row>
    <row r="558" spans="1:3" x14ac:dyDescent="0.15">
      <c r="A558" s="22">
        <v>41936</v>
      </c>
      <c r="B558">
        <v>3581.82</v>
      </c>
      <c r="C558">
        <f t="shared" si="8"/>
        <v>1.4690668372871347</v>
      </c>
    </row>
    <row r="559" spans="1:3" x14ac:dyDescent="0.15">
      <c r="A559" s="22">
        <v>41939</v>
      </c>
      <c r="B559">
        <v>3576.47</v>
      </c>
      <c r="C559">
        <f t="shared" si="8"/>
        <v>1.4668725596351346</v>
      </c>
    </row>
    <row r="560" spans="1:3" x14ac:dyDescent="0.15">
      <c r="A560" s="22">
        <v>41940</v>
      </c>
      <c r="B560">
        <v>3619.16</v>
      </c>
      <c r="C560">
        <f t="shared" si="8"/>
        <v>1.4843816648620272</v>
      </c>
    </row>
    <row r="561" spans="1:3" x14ac:dyDescent="0.15">
      <c r="A561" s="22">
        <v>41941</v>
      </c>
      <c r="B561">
        <v>3614.53</v>
      </c>
      <c r="C561">
        <f t="shared" si="8"/>
        <v>1.4824826918659975</v>
      </c>
    </row>
    <row r="562" spans="1:3" x14ac:dyDescent="0.15">
      <c r="A562" s="22">
        <v>41942</v>
      </c>
      <c r="B562">
        <v>3637.3</v>
      </c>
      <c r="C562">
        <f t="shared" si="8"/>
        <v>1.4918217016110511</v>
      </c>
    </row>
    <row r="563" spans="1:3" x14ac:dyDescent="0.15">
      <c r="A563" s="22">
        <v>41943</v>
      </c>
      <c r="B563">
        <v>3679.99</v>
      </c>
      <c r="C563">
        <f t="shared" si="8"/>
        <v>1.5093308068379434</v>
      </c>
    </row>
    <row r="564" spans="1:3" x14ac:dyDescent="0.15">
      <c r="A564" s="22">
        <v>41946</v>
      </c>
      <c r="B564">
        <v>3679.58</v>
      </c>
      <c r="C564">
        <f t="shared" si="8"/>
        <v>1.5091626472421826</v>
      </c>
    </row>
    <row r="565" spans="1:3" x14ac:dyDescent="0.15">
      <c r="A565" s="22">
        <v>41947</v>
      </c>
      <c r="B565">
        <v>3669.18</v>
      </c>
      <c r="C565">
        <f t="shared" si="8"/>
        <v>1.5048971355448371</v>
      </c>
    </row>
    <row r="566" spans="1:3" x14ac:dyDescent="0.15">
      <c r="A566" s="22">
        <v>41948</v>
      </c>
      <c r="B566">
        <v>3691.38</v>
      </c>
      <c r="C566">
        <f t="shared" si="8"/>
        <v>1.5140023624372478</v>
      </c>
    </row>
    <row r="567" spans="1:3" x14ac:dyDescent="0.15">
      <c r="A567" s="22">
        <v>41949</v>
      </c>
      <c r="B567">
        <v>3706.45</v>
      </c>
      <c r="C567">
        <f t="shared" si="8"/>
        <v>1.5201832529448436</v>
      </c>
    </row>
    <row r="568" spans="1:3" x14ac:dyDescent="0.15">
      <c r="A568" s="22">
        <v>41950</v>
      </c>
      <c r="B568">
        <v>3708.46</v>
      </c>
      <c r="C568">
        <f t="shared" si="8"/>
        <v>1.521007645109427</v>
      </c>
    </row>
    <row r="569" spans="1:3" x14ac:dyDescent="0.15">
      <c r="A569" s="22">
        <v>41953</v>
      </c>
      <c r="B569">
        <v>3720.25</v>
      </c>
      <c r="C569">
        <f t="shared" si="8"/>
        <v>1.525843258850937</v>
      </c>
    </row>
    <row r="570" spans="1:3" x14ac:dyDescent="0.15">
      <c r="A570" s="22">
        <v>41954</v>
      </c>
      <c r="B570">
        <v>3722.84</v>
      </c>
      <c r="C570">
        <f t="shared" si="8"/>
        <v>1.5269055353217182</v>
      </c>
    </row>
    <row r="571" spans="1:3" x14ac:dyDescent="0.15">
      <c r="A571" s="22">
        <v>41955</v>
      </c>
      <c r="B571">
        <v>3721.3</v>
      </c>
      <c r="C571">
        <f t="shared" si="8"/>
        <v>1.5262739114742265</v>
      </c>
    </row>
    <row r="572" spans="1:3" x14ac:dyDescent="0.15">
      <c r="A572" s="22">
        <v>41956</v>
      </c>
      <c r="B572">
        <v>3723.58</v>
      </c>
      <c r="C572">
        <f t="shared" si="8"/>
        <v>1.5272090428847984</v>
      </c>
    </row>
    <row r="573" spans="1:3" x14ac:dyDescent="0.15">
      <c r="A573" s="22">
        <v>41957</v>
      </c>
      <c r="B573">
        <v>3724.92</v>
      </c>
      <c r="C573">
        <f t="shared" si="8"/>
        <v>1.5277586376611871</v>
      </c>
    </row>
    <row r="574" spans="1:3" x14ac:dyDescent="0.15">
      <c r="A574" s="22">
        <v>41960</v>
      </c>
      <c r="B574">
        <v>3727.86</v>
      </c>
      <c r="C574">
        <f t="shared" si="8"/>
        <v>1.5289644650063985</v>
      </c>
    </row>
    <row r="575" spans="1:3" x14ac:dyDescent="0.15">
      <c r="A575" s="22">
        <v>41961</v>
      </c>
      <c r="B575">
        <v>3747.74</v>
      </c>
      <c r="C575">
        <f t="shared" si="8"/>
        <v>1.5371181546740165</v>
      </c>
    </row>
    <row r="576" spans="1:3" x14ac:dyDescent="0.15">
      <c r="A576" s="22">
        <v>41962</v>
      </c>
      <c r="B576">
        <v>3742.35</v>
      </c>
      <c r="C576">
        <f t="shared" si="8"/>
        <v>1.5349074712077961</v>
      </c>
    </row>
    <row r="577" spans="1:3" x14ac:dyDescent="0.15">
      <c r="A577" s="22">
        <v>41963</v>
      </c>
      <c r="B577">
        <v>3749.87</v>
      </c>
      <c r="C577">
        <f t="shared" si="8"/>
        <v>1.5379917642812613</v>
      </c>
    </row>
    <row r="578" spans="1:3" x14ac:dyDescent="0.15">
      <c r="A578" s="22">
        <v>41964</v>
      </c>
      <c r="B578">
        <v>3770.03</v>
      </c>
      <c r="C578">
        <f t="shared" ref="C578:C641" si="9">(B578 / $B$2)</f>
        <v>1.5462602946484236</v>
      </c>
    </row>
    <row r="579" spans="1:3" x14ac:dyDescent="0.15">
      <c r="A579" s="22">
        <v>41967</v>
      </c>
      <c r="B579">
        <v>3780.88</v>
      </c>
      <c r="C579">
        <f t="shared" si="9"/>
        <v>1.5507103717557504</v>
      </c>
    </row>
    <row r="580" spans="1:3" x14ac:dyDescent="0.15">
      <c r="A580" s="22">
        <v>41968</v>
      </c>
      <c r="B580">
        <v>3776.94</v>
      </c>
      <c r="C580">
        <f t="shared" si="9"/>
        <v>1.5490943990550252</v>
      </c>
    </row>
    <row r="581" spans="1:3" x14ac:dyDescent="0.15">
      <c r="A581" s="22">
        <v>41969</v>
      </c>
      <c r="B581">
        <v>3788.42</v>
      </c>
      <c r="C581">
        <f t="shared" si="9"/>
        <v>1.5538028677363258</v>
      </c>
    </row>
    <row r="582" spans="1:3" x14ac:dyDescent="0.15">
      <c r="A582" s="22">
        <v>41971</v>
      </c>
      <c r="B582">
        <v>3778.96</v>
      </c>
      <c r="C582">
        <f t="shared" si="9"/>
        <v>1.5499228926731634</v>
      </c>
    </row>
    <row r="583" spans="1:3" x14ac:dyDescent="0.15">
      <c r="A583" s="22">
        <v>41974</v>
      </c>
      <c r="B583">
        <v>3753.31</v>
      </c>
      <c r="C583">
        <f t="shared" si="9"/>
        <v>1.5394026643042296</v>
      </c>
    </row>
    <row r="584" spans="1:3" x14ac:dyDescent="0.15">
      <c r="A584" s="22">
        <v>41975</v>
      </c>
      <c r="B584">
        <v>3777.47</v>
      </c>
      <c r="C584">
        <f t="shared" si="9"/>
        <v>1.5493117760934476</v>
      </c>
    </row>
    <row r="585" spans="1:3" x14ac:dyDescent="0.15">
      <c r="A585" s="22">
        <v>41976</v>
      </c>
      <c r="B585">
        <v>3792.69</v>
      </c>
      <c r="C585">
        <f t="shared" si="9"/>
        <v>1.5555541884043707</v>
      </c>
    </row>
    <row r="586" spans="1:3" x14ac:dyDescent="0.15">
      <c r="A586" s="22">
        <v>41977</v>
      </c>
      <c r="B586">
        <v>3788.34</v>
      </c>
      <c r="C586">
        <f t="shared" si="9"/>
        <v>1.5537700561078849</v>
      </c>
    </row>
    <row r="587" spans="1:3" x14ac:dyDescent="0.15">
      <c r="A587" s="22">
        <v>41978</v>
      </c>
      <c r="B587">
        <v>3794.68</v>
      </c>
      <c r="C587">
        <f t="shared" si="9"/>
        <v>1.5563703776618434</v>
      </c>
    </row>
    <row r="588" spans="1:3" x14ac:dyDescent="0.15">
      <c r="A588" s="22">
        <v>41981</v>
      </c>
      <c r="B588">
        <v>3767.7</v>
      </c>
      <c r="C588">
        <f t="shared" si="9"/>
        <v>1.5453046559700758</v>
      </c>
    </row>
    <row r="589" spans="1:3" x14ac:dyDescent="0.15">
      <c r="A589" s="22">
        <v>41982</v>
      </c>
      <c r="B589">
        <v>3766.83</v>
      </c>
      <c r="C589">
        <f t="shared" si="9"/>
        <v>1.5449478295107786</v>
      </c>
    </row>
    <row r="590" spans="1:3" x14ac:dyDescent="0.15">
      <c r="A590" s="22">
        <v>41983</v>
      </c>
      <c r="B590">
        <v>3705.51</v>
      </c>
      <c r="C590">
        <f t="shared" si="9"/>
        <v>1.5197977163106606</v>
      </c>
    </row>
    <row r="591" spans="1:3" x14ac:dyDescent="0.15">
      <c r="A591" s="22">
        <v>41984</v>
      </c>
      <c r="B591">
        <v>3723.32</v>
      </c>
      <c r="C591">
        <f t="shared" si="9"/>
        <v>1.5271024050923649</v>
      </c>
    </row>
    <row r="592" spans="1:3" x14ac:dyDescent="0.15">
      <c r="A592" s="22">
        <v>41985</v>
      </c>
      <c r="B592">
        <v>3663.1</v>
      </c>
      <c r="C592">
        <f t="shared" si="9"/>
        <v>1.502403451783312</v>
      </c>
    </row>
    <row r="593" spans="1:3" x14ac:dyDescent="0.15">
      <c r="A593" s="22">
        <v>41988</v>
      </c>
      <c r="B593">
        <v>3639.97</v>
      </c>
      <c r="C593">
        <f t="shared" si="9"/>
        <v>1.4929167897102733</v>
      </c>
    </row>
    <row r="594" spans="1:3" x14ac:dyDescent="0.15">
      <c r="A594" s="22">
        <v>41989</v>
      </c>
      <c r="B594">
        <v>3609.06</v>
      </c>
      <c r="C594">
        <f t="shared" si="9"/>
        <v>1.4802391967713358</v>
      </c>
    </row>
    <row r="595" spans="1:3" x14ac:dyDescent="0.15">
      <c r="A595" s="22">
        <v>41990</v>
      </c>
      <c r="B595">
        <v>3682.7</v>
      </c>
      <c r="C595">
        <f t="shared" si="9"/>
        <v>1.5104423007513863</v>
      </c>
    </row>
    <row r="596" spans="1:3" x14ac:dyDescent="0.15">
      <c r="A596" s="22">
        <v>41991</v>
      </c>
      <c r="B596">
        <v>3771.72</v>
      </c>
      <c r="C596">
        <f t="shared" si="9"/>
        <v>1.546953440299242</v>
      </c>
    </row>
    <row r="597" spans="1:3" x14ac:dyDescent="0.15">
      <c r="A597" s="22">
        <v>41992</v>
      </c>
      <c r="B597">
        <v>3788.97</v>
      </c>
      <c r="C597">
        <f t="shared" si="9"/>
        <v>1.5540284476818584</v>
      </c>
    </row>
    <row r="598" spans="1:3" x14ac:dyDescent="0.15">
      <c r="A598" s="22">
        <v>41995</v>
      </c>
      <c r="B598">
        <v>3803.94</v>
      </c>
      <c r="C598">
        <f t="shared" si="9"/>
        <v>1.560168323653903</v>
      </c>
    </row>
    <row r="599" spans="1:3" x14ac:dyDescent="0.15">
      <c r="A599" s="22">
        <v>41996</v>
      </c>
      <c r="B599">
        <v>3810.78</v>
      </c>
      <c r="C599">
        <f t="shared" si="9"/>
        <v>1.5629737178856189</v>
      </c>
    </row>
    <row r="600" spans="1:3" x14ac:dyDescent="0.15">
      <c r="A600" s="22">
        <v>41997</v>
      </c>
      <c r="B600">
        <v>3810.39</v>
      </c>
      <c r="C600">
        <f t="shared" si="9"/>
        <v>1.5628137611969684</v>
      </c>
    </row>
    <row r="601" spans="1:3" x14ac:dyDescent="0.15">
      <c r="A601" s="22">
        <v>41999</v>
      </c>
      <c r="B601">
        <v>3823</v>
      </c>
      <c r="C601">
        <f t="shared" si="9"/>
        <v>1.5679856941299997</v>
      </c>
    </row>
    <row r="602" spans="1:3" x14ac:dyDescent="0.15">
      <c r="A602" s="22">
        <v>42002</v>
      </c>
      <c r="B602">
        <v>3826.95</v>
      </c>
      <c r="C602">
        <f t="shared" si="9"/>
        <v>1.5696057682842799</v>
      </c>
    </row>
    <row r="603" spans="1:3" x14ac:dyDescent="0.15">
      <c r="A603" s="22">
        <v>42003</v>
      </c>
      <c r="B603">
        <v>3808.69</v>
      </c>
      <c r="C603">
        <f t="shared" si="9"/>
        <v>1.5621165140925946</v>
      </c>
    </row>
    <row r="604" spans="1:3" x14ac:dyDescent="0.15">
      <c r="A604" s="22">
        <v>42004</v>
      </c>
      <c r="B604">
        <v>3769.44</v>
      </c>
      <c r="C604">
        <f t="shared" si="9"/>
        <v>1.5460183088886703</v>
      </c>
    </row>
    <row r="605" spans="1:3" x14ac:dyDescent="0.15">
      <c r="A605" s="22">
        <v>42006</v>
      </c>
      <c r="B605">
        <v>3768.68</v>
      </c>
      <c r="C605">
        <f t="shared" si="9"/>
        <v>1.5457065984184795</v>
      </c>
    </row>
    <row r="606" spans="1:3" x14ac:dyDescent="0.15">
      <c r="A606" s="22">
        <v>42009</v>
      </c>
      <c r="B606">
        <v>3700.03</v>
      </c>
      <c r="C606">
        <f t="shared" si="9"/>
        <v>1.5175501197624439</v>
      </c>
    </row>
    <row r="607" spans="1:3" x14ac:dyDescent="0.15">
      <c r="A607" s="22">
        <v>42010</v>
      </c>
      <c r="B607">
        <v>3667.14</v>
      </c>
      <c r="C607">
        <f t="shared" si="9"/>
        <v>1.5040604390195886</v>
      </c>
    </row>
    <row r="608" spans="1:3" x14ac:dyDescent="0.15">
      <c r="A608" s="22">
        <v>42011</v>
      </c>
      <c r="B608">
        <v>3710.94</v>
      </c>
      <c r="C608">
        <f t="shared" si="9"/>
        <v>1.5220248055911016</v>
      </c>
    </row>
    <row r="609" spans="1:3" x14ac:dyDescent="0.15">
      <c r="A609" s="22">
        <v>42012</v>
      </c>
      <c r="B609">
        <v>3777.4</v>
      </c>
      <c r="C609">
        <f t="shared" si="9"/>
        <v>1.5492830659185617</v>
      </c>
    </row>
    <row r="610" spans="1:3" x14ac:dyDescent="0.15">
      <c r="A610" s="22">
        <v>42013</v>
      </c>
      <c r="B610">
        <v>3745.67</v>
      </c>
      <c r="C610">
        <f t="shared" si="9"/>
        <v>1.5362691537881026</v>
      </c>
    </row>
    <row r="611" spans="1:3" x14ac:dyDescent="0.15">
      <c r="A611" s="22">
        <v>42016</v>
      </c>
      <c r="B611">
        <v>3715.36</v>
      </c>
      <c r="C611">
        <f t="shared" si="9"/>
        <v>1.5238376480624736</v>
      </c>
    </row>
    <row r="612" spans="1:3" x14ac:dyDescent="0.15">
      <c r="A612" s="22">
        <v>42017</v>
      </c>
      <c r="B612">
        <v>3706.15</v>
      </c>
      <c r="C612">
        <f t="shared" si="9"/>
        <v>1.5200602093381896</v>
      </c>
    </row>
    <row r="613" spans="1:3" x14ac:dyDescent="0.15">
      <c r="A613" s="22">
        <v>42018</v>
      </c>
      <c r="B613">
        <v>3684.72</v>
      </c>
      <c r="C613">
        <f t="shared" si="9"/>
        <v>1.5112707943695245</v>
      </c>
    </row>
    <row r="614" spans="1:3" x14ac:dyDescent="0.15">
      <c r="A614" s="22">
        <v>42019</v>
      </c>
      <c r="B614">
        <v>3650.74</v>
      </c>
      <c r="C614">
        <f t="shared" si="9"/>
        <v>1.497334055189159</v>
      </c>
    </row>
    <row r="615" spans="1:3" x14ac:dyDescent="0.15">
      <c r="A615" s="22">
        <v>42020</v>
      </c>
      <c r="B615">
        <v>3699.79</v>
      </c>
      <c r="C615">
        <f t="shared" si="9"/>
        <v>1.5174516848771205</v>
      </c>
    </row>
    <row r="616" spans="1:3" x14ac:dyDescent="0.15">
      <c r="A616" s="22">
        <v>42024</v>
      </c>
      <c r="B616">
        <v>3705.64</v>
      </c>
      <c r="C616">
        <f t="shared" si="9"/>
        <v>1.5198510352068773</v>
      </c>
    </row>
    <row r="617" spans="1:3" x14ac:dyDescent="0.15">
      <c r="A617" s="22">
        <v>42025</v>
      </c>
      <c r="B617">
        <v>3723.62</v>
      </c>
      <c r="C617">
        <f t="shared" si="9"/>
        <v>1.5272254486990189</v>
      </c>
    </row>
    <row r="618" spans="1:3" x14ac:dyDescent="0.15">
      <c r="A618" s="22">
        <v>42026</v>
      </c>
      <c r="B618">
        <v>3780.51</v>
      </c>
      <c r="C618">
        <f t="shared" si="9"/>
        <v>1.5505586179742104</v>
      </c>
    </row>
    <row r="619" spans="1:3" x14ac:dyDescent="0.15">
      <c r="A619" s="22">
        <v>42027</v>
      </c>
      <c r="B619">
        <v>3759.76</v>
      </c>
      <c r="C619">
        <f t="shared" si="9"/>
        <v>1.5420481018472949</v>
      </c>
    </row>
    <row r="620" spans="1:3" x14ac:dyDescent="0.15">
      <c r="A620" s="22">
        <v>42030</v>
      </c>
      <c r="B620">
        <v>3769.45</v>
      </c>
      <c r="C620">
        <f t="shared" si="9"/>
        <v>1.5460224103422253</v>
      </c>
    </row>
    <row r="621" spans="1:3" x14ac:dyDescent="0.15">
      <c r="A621" s="22">
        <v>42031</v>
      </c>
      <c r="B621">
        <v>3718.99</v>
      </c>
      <c r="C621">
        <f t="shared" si="9"/>
        <v>1.5253264757029892</v>
      </c>
    </row>
    <row r="622" spans="1:3" x14ac:dyDescent="0.15">
      <c r="A622" s="22">
        <v>42032</v>
      </c>
      <c r="B622">
        <v>3669.1</v>
      </c>
      <c r="C622">
        <f t="shared" si="9"/>
        <v>1.5048643239163961</v>
      </c>
    </row>
    <row r="623" spans="1:3" x14ac:dyDescent="0.15">
      <c r="A623" s="22">
        <v>42033</v>
      </c>
      <c r="B623">
        <v>3704.35</v>
      </c>
      <c r="C623">
        <f t="shared" si="9"/>
        <v>1.5193219476982642</v>
      </c>
    </row>
    <row r="624" spans="1:3" x14ac:dyDescent="0.15">
      <c r="A624" s="22">
        <v>42034</v>
      </c>
      <c r="B624">
        <v>3656.28</v>
      </c>
      <c r="C624">
        <f t="shared" si="9"/>
        <v>1.4996062604587068</v>
      </c>
    </row>
    <row r="625" spans="1:3" x14ac:dyDescent="0.15">
      <c r="A625" s="22">
        <v>42037</v>
      </c>
      <c r="B625">
        <v>3703.77</v>
      </c>
      <c r="C625">
        <f t="shared" si="9"/>
        <v>1.5190840633920661</v>
      </c>
    </row>
    <row r="626" spans="1:3" x14ac:dyDescent="0.15">
      <c r="A626" s="22">
        <v>42038</v>
      </c>
      <c r="B626">
        <v>3757.34</v>
      </c>
      <c r="C626">
        <f t="shared" si="9"/>
        <v>1.5410555500869509</v>
      </c>
    </row>
    <row r="627" spans="1:3" x14ac:dyDescent="0.15">
      <c r="A627" s="22">
        <v>42039</v>
      </c>
      <c r="B627">
        <v>3742.84</v>
      </c>
      <c r="C627">
        <f t="shared" si="9"/>
        <v>1.5351084424319981</v>
      </c>
    </row>
    <row r="628" spans="1:3" x14ac:dyDescent="0.15">
      <c r="A628" s="22">
        <v>42040</v>
      </c>
      <c r="B628">
        <v>3782.11</v>
      </c>
      <c r="C628">
        <f t="shared" si="9"/>
        <v>1.5512148505430325</v>
      </c>
    </row>
    <row r="629" spans="1:3" x14ac:dyDescent="0.15">
      <c r="A629" s="22">
        <v>42041</v>
      </c>
      <c r="B629">
        <v>3770.2</v>
      </c>
      <c r="C629">
        <f t="shared" si="9"/>
        <v>1.5463300193588607</v>
      </c>
    </row>
    <row r="630" spans="1:3" x14ac:dyDescent="0.15">
      <c r="A630" s="22">
        <v>42044</v>
      </c>
      <c r="B630">
        <v>3754.36</v>
      </c>
      <c r="C630">
        <f t="shared" si="9"/>
        <v>1.5398333169275193</v>
      </c>
    </row>
    <row r="631" spans="1:3" x14ac:dyDescent="0.15">
      <c r="A631" s="22">
        <v>42045</v>
      </c>
      <c r="B631">
        <v>3794.62</v>
      </c>
      <c r="C631">
        <f t="shared" si="9"/>
        <v>1.5563457689405125</v>
      </c>
    </row>
    <row r="632" spans="1:3" x14ac:dyDescent="0.15">
      <c r="A632" s="22">
        <v>42046</v>
      </c>
      <c r="B632">
        <v>3795.82</v>
      </c>
      <c r="C632">
        <f t="shared" si="9"/>
        <v>1.5568379433671296</v>
      </c>
    </row>
    <row r="633" spans="1:3" x14ac:dyDescent="0.15">
      <c r="A633" s="22">
        <v>42047</v>
      </c>
      <c r="B633">
        <v>3833.35</v>
      </c>
      <c r="C633">
        <f t="shared" si="9"/>
        <v>1.5722306985595695</v>
      </c>
    </row>
    <row r="634" spans="1:3" x14ac:dyDescent="0.15">
      <c r="A634" s="22">
        <v>42048</v>
      </c>
      <c r="B634">
        <v>3849.29</v>
      </c>
      <c r="C634">
        <f t="shared" si="9"/>
        <v>1.5787684155264627</v>
      </c>
    </row>
    <row r="635" spans="1:3" x14ac:dyDescent="0.15">
      <c r="A635" s="22">
        <v>42052</v>
      </c>
      <c r="B635">
        <v>3856.04</v>
      </c>
      <c r="C635">
        <f t="shared" si="9"/>
        <v>1.581536896676182</v>
      </c>
    </row>
    <row r="636" spans="1:3" x14ac:dyDescent="0.15">
      <c r="A636" s="22">
        <v>42053</v>
      </c>
      <c r="B636">
        <v>3855</v>
      </c>
      <c r="C636">
        <f t="shared" si="9"/>
        <v>1.5811103455064477</v>
      </c>
    </row>
    <row r="637" spans="1:3" x14ac:dyDescent="0.15">
      <c r="A637" s="22">
        <v>42054</v>
      </c>
      <c r="B637">
        <v>3851.53</v>
      </c>
      <c r="C637">
        <f t="shared" si="9"/>
        <v>1.5796871411228142</v>
      </c>
    </row>
    <row r="638" spans="1:3" x14ac:dyDescent="0.15">
      <c r="A638" s="22">
        <v>42055</v>
      </c>
      <c r="B638">
        <v>3875.6</v>
      </c>
      <c r="C638">
        <f t="shared" si="9"/>
        <v>1.5895593398300358</v>
      </c>
    </row>
    <row r="639" spans="1:3" x14ac:dyDescent="0.15">
      <c r="A639" s="22">
        <v>42058</v>
      </c>
      <c r="B639">
        <v>3874.46</v>
      </c>
      <c r="C639">
        <f t="shared" si="9"/>
        <v>1.5890917741247499</v>
      </c>
    </row>
    <row r="640" spans="1:3" x14ac:dyDescent="0.15">
      <c r="A640" s="22">
        <v>42059</v>
      </c>
      <c r="B640">
        <v>3885.27</v>
      </c>
      <c r="C640">
        <f t="shared" si="9"/>
        <v>1.5935254454178562</v>
      </c>
    </row>
    <row r="641" spans="1:3" x14ac:dyDescent="0.15">
      <c r="A641" s="22">
        <v>42060</v>
      </c>
      <c r="B641">
        <v>3882.95</v>
      </c>
      <c r="C641">
        <f t="shared" si="9"/>
        <v>1.5925739081930637</v>
      </c>
    </row>
    <row r="642" spans="1:3" x14ac:dyDescent="0.15">
      <c r="A642" s="22">
        <v>42061</v>
      </c>
      <c r="B642">
        <v>3877.85</v>
      </c>
      <c r="C642">
        <f t="shared" ref="C642:C705" si="10">(B642 / $B$2)</f>
        <v>1.5904821668799423</v>
      </c>
    </row>
    <row r="643" spans="1:3" x14ac:dyDescent="0.15">
      <c r="A643" s="22">
        <v>42062</v>
      </c>
      <c r="B643">
        <v>3866.42</v>
      </c>
      <c r="C643">
        <f t="shared" si="10"/>
        <v>1.5857942054664174</v>
      </c>
    </row>
    <row r="644" spans="1:3" x14ac:dyDescent="0.15">
      <c r="A644" s="22">
        <v>42065</v>
      </c>
      <c r="B644">
        <v>3890.32</v>
      </c>
      <c r="C644">
        <f t="shared" si="10"/>
        <v>1.5955966794632019</v>
      </c>
    </row>
    <row r="645" spans="1:3" x14ac:dyDescent="0.15">
      <c r="A645" s="22">
        <v>42066</v>
      </c>
      <c r="B645">
        <v>3872.71</v>
      </c>
      <c r="C645">
        <f t="shared" si="10"/>
        <v>1.5883740197526004</v>
      </c>
    </row>
    <row r="646" spans="1:3" x14ac:dyDescent="0.15">
      <c r="A646" s="22">
        <v>42067</v>
      </c>
      <c r="B646">
        <v>3856.51</v>
      </c>
      <c r="C646">
        <f t="shared" si="10"/>
        <v>1.5817296649932737</v>
      </c>
    </row>
    <row r="647" spans="1:3" x14ac:dyDescent="0.15">
      <c r="A647" s="22">
        <v>42068</v>
      </c>
      <c r="B647">
        <v>3861.29</v>
      </c>
      <c r="C647">
        <f t="shared" si="10"/>
        <v>1.5836901597926305</v>
      </c>
    </row>
    <row r="648" spans="1:3" x14ac:dyDescent="0.15">
      <c r="A648" s="22">
        <v>42069</v>
      </c>
      <c r="B648">
        <v>3807.04</v>
      </c>
      <c r="C648">
        <f t="shared" si="10"/>
        <v>1.5614397742559964</v>
      </c>
    </row>
    <row r="649" spans="1:3" x14ac:dyDescent="0.15">
      <c r="A649" s="22">
        <v>42072</v>
      </c>
      <c r="B649">
        <v>3822.42</v>
      </c>
      <c r="C649">
        <f t="shared" si="10"/>
        <v>1.5677478098238016</v>
      </c>
    </row>
    <row r="650" spans="1:3" x14ac:dyDescent="0.15">
      <c r="A650" s="22">
        <v>42073</v>
      </c>
      <c r="B650">
        <v>3757.83</v>
      </c>
      <c r="C650">
        <f t="shared" si="10"/>
        <v>1.5412565213111526</v>
      </c>
    </row>
    <row r="651" spans="1:3" x14ac:dyDescent="0.15">
      <c r="A651" s="22">
        <v>42074</v>
      </c>
      <c r="B651">
        <v>3751.2</v>
      </c>
      <c r="C651">
        <f t="shared" si="10"/>
        <v>1.538537257604095</v>
      </c>
    </row>
    <row r="652" spans="1:3" x14ac:dyDescent="0.15">
      <c r="A652" s="22">
        <v>42075</v>
      </c>
      <c r="B652">
        <v>3799.43</v>
      </c>
      <c r="C652">
        <f t="shared" si="10"/>
        <v>1.5583185681005349</v>
      </c>
    </row>
    <row r="653" spans="1:3" x14ac:dyDescent="0.15">
      <c r="A653" s="22">
        <v>42076</v>
      </c>
      <c r="B653">
        <v>3776.44</v>
      </c>
      <c r="C653">
        <f t="shared" si="10"/>
        <v>1.5488893263772683</v>
      </c>
    </row>
    <row r="654" spans="1:3" x14ac:dyDescent="0.15">
      <c r="A654" s="22">
        <v>42079</v>
      </c>
      <c r="B654">
        <v>3827.62</v>
      </c>
      <c r="C654">
        <f t="shared" si="10"/>
        <v>1.5698805656724744</v>
      </c>
    </row>
    <row r="655" spans="1:3" x14ac:dyDescent="0.15">
      <c r="A655" s="22">
        <v>42080</v>
      </c>
      <c r="B655">
        <v>3814.91</v>
      </c>
      <c r="C655">
        <f t="shared" si="10"/>
        <v>1.5646676182038914</v>
      </c>
    </row>
    <row r="656" spans="1:3" x14ac:dyDescent="0.15">
      <c r="A656" s="22">
        <v>42081</v>
      </c>
      <c r="B656">
        <v>3861.39</v>
      </c>
      <c r="C656">
        <f t="shared" si="10"/>
        <v>1.5837311743281819</v>
      </c>
    </row>
    <row r="657" spans="1:3" x14ac:dyDescent="0.15">
      <c r="A657" s="22">
        <v>42082</v>
      </c>
      <c r="B657">
        <v>3842.62</v>
      </c>
      <c r="C657">
        <f t="shared" si="10"/>
        <v>1.5760327460051844</v>
      </c>
    </row>
    <row r="658" spans="1:3" x14ac:dyDescent="0.15">
      <c r="A658" s="22">
        <v>42083</v>
      </c>
      <c r="B658">
        <v>3877.26</v>
      </c>
      <c r="C658">
        <f t="shared" si="10"/>
        <v>1.5902401811201892</v>
      </c>
    </row>
    <row r="659" spans="1:3" x14ac:dyDescent="0.15">
      <c r="A659" s="22">
        <v>42086</v>
      </c>
      <c r="B659">
        <v>3870.49</v>
      </c>
      <c r="C659">
        <f t="shared" si="10"/>
        <v>1.5874634970633592</v>
      </c>
    </row>
    <row r="660" spans="1:3" x14ac:dyDescent="0.15">
      <c r="A660" s="22">
        <v>42087</v>
      </c>
      <c r="B660">
        <v>3847.05</v>
      </c>
      <c r="C660">
        <f t="shared" si="10"/>
        <v>1.5778496899301113</v>
      </c>
    </row>
    <row r="661" spans="1:3" x14ac:dyDescent="0.15">
      <c r="A661" s="22">
        <v>42088</v>
      </c>
      <c r="B661">
        <v>3791.13</v>
      </c>
      <c r="C661">
        <f t="shared" si="10"/>
        <v>1.5549143616497687</v>
      </c>
    </row>
    <row r="662" spans="1:3" x14ac:dyDescent="0.15">
      <c r="A662" s="22">
        <v>42089</v>
      </c>
      <c r="B662">
        <v>3782.21</v>
      </c>
      <c r="C662">
        <f t="shared" si="10"/>
        <v>1.5512558650785839</v>
      </c>
    </row>
    <row r="663" spans="1:3" x14ac:dyDescent="0.15">
      <c r="A663" s="22">
        <v>42090</v>
      </c>
      <c r="B663">
        <v>3791.9</v>
      </c>
      <c r="C663">
        <f t="shared" si="10"/>
        <v>1.5552301735735146</v>
      </c>
    </row>
    <row r="664" spans="1:3" x14ac:dyDescent="0.15">
      <c r="A664" s="22">
        <v>42093</v>
      </c>
      <c r="B664">
        <v>3838.65</v>
      </c>
      <c r="C664">
        <f t="shared" si="10"/>
        <v>1.5744044689437937</v>
      </c>
    </row>
    <row r="665" spans="1:3" x14ac:dyDescent="0.15">
      <c r="A665" s="22">
        <v>42094</v>
      </c>
      <c r="B665">
        <v>3805.27</v>
      </c>
      <c r="C665">
        <f t="shared" si="10"/>
        <v>1.5607138169767367</v>
      </c>
    </row>
    <row r="666" spans="1:3" x14ac:dyDescent="0.15">
      <c r="A666" s="22">
        <v>42095</v>
      </c>
      <c r="B666">
        <v>3790.66</v>
      </c>
      <c r="C666">
        <f t="shared" si="10"/>
        <v>1.5547215933326772</v>
      </c>
    </row>
    <row r="667" spans="1:3" x14ac:dyDescent="0.15">
      <c r="A667" s="22">
        <v>42096</v>
      </c>
      <c r="B667">
        <v>3804.14</v>
      </c>
      <c r="C667">
        <f t="shared" si="10"/>
        <v>1.5602503527250058</v>
      </c>
    </row>
    <row r="668" spans="1:3" x14ac:dyDescent="0.15">
      <c r="A668" s="22">
        <v>42100</v>
      </c>
      <c r="B668">
        <v>3829.31</v>
      </c>
      <c r="C668">
        <f t="shared" si="10"/>
        <v>1.5705737113232932</v>
      </c>
    </row>
    <row r="669" spans="1:3" x14ac:dyDescent="0.15">
      <c r="A669" s="22">
        <v>42101</v>
      </c>
      <c r="B669">
        <v>3821.49</v>
      </c>
      <c r="C669">
        <f t="shared" si="10"/>
        <v>1.5673663746431736</v>
      </c>
    </row>
    <row r="670" spans="1:3" x14ac:dyDescent="0.15">
      <c r="A670" s="22">
        <v>42102</v>
      </c>
      <c r="B670">
        <v>3833.2</v>
      </c>
      <c r="C670">
        <f t="shared" si="10"/>
        <v>1.5721691767562425</v>
      </c>
    </row>
    <row r="671" spans="1:3" x14ac:dyDescent="0.15">
      <c r="A671" s="22">
        <v>42103</v>
      </c>
      <c r="B671">
        <v>3850.29</v>
      </c>
      <c r="C671">
        <f t="shared" si="10"/>
        <v>1.5791785608819766</v>
      </c>
    </row>
    <row r="672" spans="1:3" x14ac:dyDescent="0.15">
      <c r="A672" s="22">
        <v>42104</v>
      </c>
      <c r="B672">
        <v>3870.31</v>
      </c>
      <c r="C672">
        <f t="shared" si="10"/>
        <v>1.5873896708993669</v>
      </c>
    </row>
    <row r="673" spans="1:3" x14ac:dyDescent="0.15">
      <c r="A673" s="22">
        <v>42107</v>
      </c>
      <c r="B673">
        <v>3852.93</v>
      </c>
      <c r="C673">
        <f t="shared" si="10"/>
        <v>1.5802613446205336</v>
      </c>
    </row>
    <row r="674" spans="1:3" x14ac:dyDescent="0.15">
      <c r="A674" s="22">
        <v>42108</v>
      </c>
      <c r="B674">
        <v>3859.22</v>
      </c>
      <c r="C674">
        <f t="shared" si="10"/>
        <v>1.5828411589067166</v>
      </c>
    </row>
    <row r="675" spans="1:3" x14ac:dyDescent="0.15">
      <c r="A675" s="22">
        <v>42109</v>
      </c>
      <c r="B675">
        <v>3879.1</v>
      </c>
      <c r="C675">
        <f t="shared" si="10"/>
        <v>1.5909948485743348</v>
      </c>
    </row>
    <row r="676" spans="1:3" x14ac:dyDescent="0.15">
      <c r="A676" s="22">
        <v>42110</v>
      </c>
      <c r="B676">
        <v>3876.17</v>
      </c>
      <c r="C676">
        <f t="shared" si="10"/>
        <v>1.5897931226826789</v>
      </c>
    </row>
    <row r="677" spans="1:3" x14ac:dyDescent="0.15">
      <c r="A677" s="22">
        <v>42111</v>
      </c>
      <c r="B677">
        <v>3832.33</v>
      </c>
      <c r="C677">
        <f t="shared" si="10"/>
        <v>1.5718123502969452</v>
      </c>
    </row>
    <row r="678" spans="1:3" x14ac:dyDescent="0.15">
      <c r="A678" s="22">
        <v>42114</v>
      </c>
      <c r="B678">
        <v>3867.82</v>
      </c>
      <c r="C678">
        <f t="shared" si="10"/>
        <v>1.586368408964137</v>
      </c>
    </row>
    <row r="679" spans="1:3" x14ac:dyDescent="0.15">
      <c r="A679" s="22">
        <v>42115</v>
      </c>
      <c r="B679">
        <v>3862.15</v>
      </c>
      <c r="C679">
        <f t="shared" si="10"/>
        <v>1.5840428847983727</v>
      </c>
    </row>
    <row r="680" spans="1:3" x14ac:dyDescent="0.15">
      <c r="A680" s="22">
        <v>42116</v>
      </c>
      <c r="B680">
        <v>3881.93</v>
      </c>
      <c r="C680">
        <f t="shared" si="10"/>
        <v>1.5921555599304393</v>
      </c>
    </row>
    <row r="681" spans="1:3" x14ac:dyDescent="0.15">
      <c r="A681" s="22">
        <v>42117</v>
      </c>
      <c r="B681">
        <v>3891.46</v>
      </c>
      <c r="C681">
        <f t="shared" si="10"/>
        <v>1.5960642451684879</v>
      </c>
    </row>
    <row r="682" spans="1:3" x14ac:dyDescent="0.15">
      <c r="A682" s="22">
        <v>42118</v>
      </c>
      <c r="B682">
        <v>3900.24</v>
      </c>
      <c r="C682">
        <f t="shared" si="10"/>
        <v>1.5996653213899006</v>
      </c>
    </row>
    <row r="683" spans="1:3" x14ac:dyDescent="0.15">
      <c r="A683" s="22">
        <v>42121</v>
      </c>
      <c r="B683">
        <v>3884.1</v>
      </c>
      <c r="C683">
        <f t="shared" si="10"/>
        <v>1.5930455753519048</v>
      </c>
    </row>
    <row r="684" spans="1:3" x14ac:dyDescent="0.15">
      <c r="A684" s="22">
        <v>42122</v>
      </c>
      <c r="B684">
        <v>3895.21</v>
      </c>
      <c r="C684">
        <f t="shared" si="10"/>
        <v>1.5976022902516653</v>
      </c>
    </row>
    <row r="685" spans="1:3" x14ac:dyDescent="0.15">
      <c r="A685" s="22">
        <v>42123</v>
      </c>
      <c r="B685">
        <v>3880.9</v>
      </c>
      <c r="C685">
        <f t="shared" si="10"/>
        <v>1.59173311021426</v>
      </c>
    </row>
    <row r="686" spans="1:3" x14ac:dyDescent="0.15">
      <c r="A686" s="22">
        <v>42124</v>
      </c>
      <c r="B686">
        <v>3841.78</v>
      </c>
      <c r="C686">
        <f t="shared" si="10"/>
        <v>1.5756882239065526</v>
      </c>
    </row>
    <row r="687" spans="1:3" x14ac:dyDescent="0.15">
      <c r="A687" s="22">
        <v>42125</v>
      </c>
      <c r="B687">
        <v>3883.75</v>
      </c>
      <c r="C687">
        <f t="shared" si="10"/>
        <v>1.592902024477475</v>
      </c>
    </row>
    <row r="688" spans="1:3" x14ac:dyDescent="0.15">
      <c r="A688" s="22">
        <v>42128</v>
      </c>
      <c r="B688">
        <v>3895.16</v>
      </c>
      <c r="C688">
        <f t="shared" si="10"/>
        <v>1.5975817829838894</v>
      </c>
    </row>
    <row r="689" spans="1:3" x14ac:dyDescent="0.15">
      <c r="A689" s="22">
        <v>42129</v>
      </c>
      <c r="B689">
        <v>3849.41</v>
      </c>
      <c r="C689">
        <f t="shared" si="10"/>
        <v>1.5788176329691244</v>
      </c>
    </row>
    <row r="690" spans="1:3" x14ac:dyDescent="0.15">
      <c r="A690" s="22">
        <v>42130</v>
      </c>
      <c r="B690">
        <v>3833.7</v>
      </c>
      <c r="C690">
        <f t="shared" si="10"/>
        <v>1.5723742494339994</v>
      </c>
    </row>
    <row r="691" spans="1:3" x14ac:dyDescent="0.15">
      <c r="A691" s="22">
        <v>42131</v>
      </c>
      <c r="B691">
        <v>3849.13</v>
      </c>
      <c r="C691">
        <f t="shared" si="10"/>
        <v>1.5787027922695804</v>
      </c>
    </row>
    <row r="692" spans="1:3" x14ac:dyDescent="0.15">
      <c r="A692" s="22">
        <v>42132</v>
      </c>
      <c r="B692">
        <v>3901.01</v>
      </c>
      <c r="C692">
        <f t="shared" si="10"/>
        <v>1.5999811333136464</v>
      </c>
    </row>
    <row r="693" spans="1:3" x14ac:dyDescent="0.15">
      <c r="A693" s="22">
        <v>42135</v>
      </c>
      <c r="B693">
        <v>3881.93</v>
      </c>
      <c r="C693">
        <f t="shared" si="10"/>
        <v>1.5921555599304393</v>
      </c>
    </row>
    <row r="694" spans="1:3" x14ac:dyDescent="0.15">
      <c r="A694" s="22">
        <v>42136</v>
      </c>
      <c r="B694">
        <v>3870.69</v>
      </c>
      <c r="C694">
        <f t="shared" si="10"/>
        <v>1.5875455261344622</v>
      </c>
    </row>
    <row r="695" spans="1:3" x14ac:dyDescent="0.15">
      <c r="A695" s="22">
        <v>42137</v>
      </c>
      <c r="B695">
        <v>3870.36</v>
      </c>
      <c r="C695">
        <f t="shared" si="10"/>
        <v>1.5874101781671426</v>
      </c>
    </row>
    <row r="696" spans="1:3" x14ac:dyDescent="0.15">
      <c r="A696" s="22">
        <v>42138</v>
      </c>
      <c r="B696">
        <v>3912.52</v>
      </c>
      <c r="C696">
        <f t="shared" si="10"/>
        <v>1.6047019063556125</v>
      </c>
    </row>
    <row r="697" spans="1:3" x14ac:dyDescent="0.15">
      <c r="A697" s="22">
        <v>42139</v>
      </c>
      <c r="B697">
        <v>3915.99</v>
      </c>
      <c r="C697">
        <f t="shared" si="10"/>
        <v>1.606125110739246</v>
      </c>
    </row>
    <row r="698" spans="1:3" x14ac:dyDescent="0.15">
      <c r="A698" s="22">
        <v>42142</v>
      </c>
      <c r="B698">
        <v>3928.15</v>
      </c>
      <c r="C698">
        <f t="shared" si="10"/>
        <v>1.6111124782622963</v>
      </c>
    </row>
    <row r="699" spans="1:3" x14ac:dyDescent="0.15">
      <c r="A699" s="22">
        <v>42143</v>
      </c>
      <c r="B699">
        <v>3926.41</v>
      </c>
      <c r="C699">
        <f t="shared" si="10"/>
        <v>1.6103988253437018</v>
      </c>
    </row>
    <row r="700" spans="1:3" x14ac:dyDescent="0.15">
      <c r="A700" s="22">
        <v>42144</v>
      </c>
      <c r="B700">
        <v>3923.18</v>
      </c>
      <c r="C700">
        <f t="shared" si="10"/>
        <v>1.6090740558453915</v>
      </c>
    </row>
    <row r="701" spans="1:3" x14ac:dyDescent="0.15">
      <c r="A701" s="22">
        <v>42145</v>
      </c>
      <c r="B701">
        <v>3932.9</v>
      </c>
      <c r="C701">
        <f t="shared" si="10"/>
        <v>1.6130606687009879</v>
      </c>
    </row>
    <row r="702" spans="1:3" x14ac:dyDescent="0.15">
      <c r="A702" s="22">
        <v>42146</v>
      </c>
      <c r="B702">
        <v>3924.16</v>
      </c>
      <c r="C702">
        <f t="shared" si="10"/>
        <v>1.6094759982937954</v>
      </c>
    </row>
    <row r="703" spans="1:3" x14ac:dyDescent="0.15">
      <c r="A703" s="22">
        <v>42150</v>
      </c>
      <c r="B703">
        <v>3883.88</v>
      </c>
      <c r="C703">
        <f t="shared" si="10"/>
        <v>1.5929553433736918</v>
      </c>
    </row>
    <row r="704" spans="1:3" x14ac:dyDescent="0.15">
      <c r="A704" s="22">
        <v>42151</v>
      </c>
      <c r="B704">
        <v>3920.11</v>
      </c>
      <c r="C704">
        <f t="shared" si="10"/>
        <v>1.6078149096039638</v>
      </c>
    </row>
    <row r="705" spans="1:3" x14ac:dyDescent="0.15">
      <c r="A705" s="22">
        <v>42152</v>
      </c>
      <c r="B705">
        <v>3915.82</v>
      </c>
      <c r="C705">
        <f t="shared" si="10"/>
        <v>1.6060553860288087</v>
      </c>
    </row>
    <row r="706" spans="1:3" x14ac:dyDescent="0.15">
      <c r="A706" s="22">
        <v>42153</v>
      </c>
      <c r="B706">
        <v>3891.18</v>
      </c>
      <c r="C706">
        <f t="shared" ref="C706:C769" si="11">(B706 / $B$2)</f>
        <v>1.5959494044689437</v>
      </c>
    </row>
    <row r="707" spans="1:3" x14ac:dyDescent="0.15">
      <c r="A707" s="22">
        <v>42156</v>
      </c>
      <c r="B707">
        <v>3899.59</v>
      </c>
      <c r="C707">
        <f t="shared" si="11"/>
        <v>1.5993987269088166</v>
      </c>
    </row>
    <row r="708" spans="1:3" x14ac:dyDescent="0.15">
      <c r="A708" s="22">
        <v>42157</v>
      </c>
      <c r="B708">
        <v>3895.85</v>
      </c>
      <c r="C708">
        <f t="shared" si="11"/>
        <v>1.5978647832791941</v>
      </c>
    </row>
    <row r="709" spans="1:3" x14ac:dyDescent="0.15">
      <c r="A709" s="22">
        <v>42158</v>
      </c>
      <c r="B709">
        <v>3904.83</v>
      </c>
      <c r="C709">
        <f t="shared" si="11"/>
        <v>1.6015478885717098</v>
      </c>
    </row>
    <row r="710" spans="1:3" x14ac:dyDescent="0.15">
      <c r="A710" s="22">
        <v>42159</v>
      </c>
      <c r="B710">
        <v>3871.23</v>
      </c>
      <c r="C710">
        <f t="shared" si="11"/>
        <v>1.5877670046264396</v>
      </c>
    </row>
    <row r="711" spans="1:3" x14ac:dyDescent="0.15">
      <c r="A711" s="22">
        <v>42160</v>
      </c>
      <c r="B711">
        <v>3865.83</v>
      </c>
      <c r="C711">
        <f t="shared" si="11"/>
        <v>1.585552219706664</v>
      </c>
    </row>
    <row r="712" spans="1:3" x14ac:dyDescent="0.15">
      <c r="A712" s="22">
        <v>42163</v>
      </c>
      <c r="B712">
        <v>3841.45</v>
      </c>
      <c r="C712">
        <f t="shared" si="11"/>
        <v>1.575552875939233</v>
      </c>
    </row>
    <row r="713" spans="1:3" x14ac:dyDescent="0.15">
      <c r="A713" s="22">
        <v>42164</v>
      </c>
      <c r="B713">
        <v>3843.16</v>
      </c>
      <c r="C713">
        <f t="shared" si="11"/>
        <v>1.5762542244971618</v>
      </c>
    </row>
    <row r="714" spans="1:3" x14ac:dyDescent="0.15">
      <c r="A714" s="22">
        <v>42165</v>
      </c>
      <c r="B714">
        <v>3889.7</v>
      </c>
      <c r="C714">
        <f t="shared" si="11"/>
        <v>1.5953423893427832</v>
      </c>
    </row>
    <row r="715" spans="1:3" x14ac:dyDescent="0.15">
      <c r="A715" s="22">
        <v>42166</v>
      </c>
      <c r="B715">
        <v>3897.59</v>
      </c>
      <c r="C715">
        <f t="shared" si="11"/>
        <v>1.5985784361977886</v>
      </c>
    </row>
    <row r="716" spans="1:3" x14ac:dyDescent="0.15">
      <c r="A716" s="22">
        <v>42167</v>
      </c>
      <c r="B716">
        <v>3870.56</v>
      </c>
      <c r="C716">
        <f t="shared" si="11"/>
        <v>1.5874922072382454</v>
      </c>
    </row>
    <row r="717" spans="1:3" x14ac:dyDescent="0.15">
      <c r="A717" s="22">
        <v>42170</v>
      </c>
      <c r="B717">
        <v>3852.75</v>
      </c>
      <c r="C717">
        <f t="shared" si="11"/>
        <v>1.580187518456541</v>
      </c>
    </row>
    <row r="718" spans="1:3" x14ac:dyDescent="0.15">
      <c r="A718" s="22">
        <v>42171</v>
      </c>
      <c r="B718">
        <v>3874.73</v>
      </c>
      <c r="C718">
        <f t="shared" si="11"/>
        <v>1.5892025133707386</v>
      </c>
    </row>
    <row r="719" spans="1:3" x14ac:dyDescent="0.15">
      <c r="A719" s="22">
        <v>42172</v>
      </c>
      <c r="B719">
        <v>3882.49</v>
      </c>
      <c r="C719">
        <f t="shared" si="11"/>
        <v>1.5923852413295272</v>
      </c>
    </row>
    <row r="720" spans="1:3" x14ac:dyDescent="0.15">
      <c r="A720" s="22">
        <v>42173</v>
      </c>
      <c r="B720">
        <v>3921.43</v>
      </c>
      <c r="C720">
        <f t="shared" si="11"/>
        <v>1.608356301473242</v>
      </c>
    </row>
    <row r="721" spans="1:3" x14ac:dyDescent="0.15">
      <c r="A721" s="22">
        <v>42174</v>
      </c>
      <c r="B721">
        <v>3900.64</v>
      </c>
      <c r="C721">
        <f t="shared" si="11"/>
        <v>1.5998293795321061</v>
      </c>
    </row>
    <row r="722" spans="1:3" x14ac:dyDescent="0.15">
      <c r="A722" s="22">
        <v>42177</v>
      </c>
      <c r="B722">
        <v>3924.41</v>
      </c>
      <c r="C722">
        <f t="shared" si="11"/>
        <v>1.6095785346326739</v>
      </c>
    </row>
    <row r="723" spans="1:3" x14ac:dyDescent="0.15">
      <c r="A723" s="22">
        <v>42178</v>
      </c>
      <c r="B723">
        <v>3927.23</v>
      </c>
      <c r="C723">
        <f t="shared" si="11"/>
        <v>1.6107351445352234</v>
      </c>
    </row>
    <row r="724" spans="1:3" x14ac:dyDescent="0.15">
      <c r="A724" s="22">
        <v>42179</v>
      </c>
      <c r="B724">
        <v>3898.47</v>
      </c>
      <c r="C724">
        <f t="shared" si="11"/>
        <v>1.5989393641106409</v>
      </c>
    </row>
    <row r="725" spans="1:3" x14ac:dyDescent="0.15">
      <c r="A725" s="22">
        <v>42180</v>
      </c>
      <c r="B725">
        <v>3887.04</v>
      </c>
      <c r="C725">
        <f t="shared" si="11"/>
        <v>1.594251402697116</v>
      </c>
    </row>
    <row r="726" spans="1:3" x14ac:dyDescent="0.15">
      <c r="A726" s="22">
        <v>42181</v>
      </c>
      <c r="B726">
        <v>3886.21</v>
      </c>
      <c r="C726">
        <f t="shared" si="11"/>
        <v>1.5939109820520394</v>
      </c>
    </row>
    <row r="727" spans="1:3" x14ac:dyDescent="0.15">
      <c r="A727" s="22">
        <v>42184</v>
      </c>
      <c r="B727">
        <v>3805.5</v>
      </c>
      <c r="C727">
        <f t="shared" si="11"/>
        <v>1.560808150408505</v>
      </c>
    </row>
    <row r="728" spans="1:3" x14ac:dyDescent="0.15">
      <c r="A728" s="22">
        <v>42185</v>
      </c>
      <c r="B728">
        <v>3815.85</v>
      </c>
      <c r="C728">
        <f t="shared" si="11"/>
        <v>1.5650531548380746</v>
      </c>
    </row>
    <row r="729" spans="1:3" x14ac:dyDescent="0.15">
      <c r="A729" s="22">
        <v>42186</v>
      </c>
      <c r="B729">
        <v>3843.26</v>
      </c>
      <c r="C729">
        <f t="shared" si="11"/>
        <v>1.5762952390327134</v>
      </c>
    </row>
    <row r="730" spans="1:3" x14ac:dyDescent="0.15">
      <c r="A730" s="22">
        <v>42187</v>
      </c>
      <c r="B730">
        <v>3842.06</v>
      </c>
      <c r="C730">
        <f t="shared" si="11"/>
        <v>1.5758030646060965</v>
      </c>
    </row>
    <row r="731" spans="1:3" x14ac:dyDescent="0.15">
      <c r="A731" s="22">
        <v>42191</v>
      </c>
      <c r="B731">
        <v>3827.35</v>
      </c>
      <c r="C731">
        <f t="shared" si="11"/>
        <v>1.5697698264264857</v>
      </c>
    </row>
    <row r="732" spans="1:3" x14ac:dyDescent="0.15">
      <c r="A732" s="22">
        <v>42192</v>
      </c>
      <c r="B732">
        <v>3850.66</v>
      </c>
      <c r="C732">
        <f t="shared" si="11"/>
        <v>1.5793303146635167</v>
      </c>
    </row>
    <row r="733" spans="1:3" x14ac:dyDescent="0.15">
      <c r="A733" s="22">
        <v>42193</v>
      </c>
      <c r="B733">
        <v>3787.67</v>
      </c>
      <c r="C733">
        <f t="shared" si="11"/>
        <v>1.5534952587196904</v>
      </c>
    </row>
    <row r="734" spans="1:3" x14ac:dyDescent="0.15">
      <c r="A734" s="22">
        <v>42194</v>
      </c>
      <c r="B734">
        <v>3796.26</v>
      </c>
      <c r="C734">
        <f t="shared" si="11"/>
        <v>1.5570184073235556</v>
      </c>
    </row>
    <row r="735" spans="1:3" x14ac:dyDescent="0.15">
      <c r="A735" s="22">
        <v>42195</v>
      </c>
      <c r="B735">
        <v>3843.1</v>
      </c>
      <c r="C735">
        <f t="shared" si="11"/>
        <v>1.5762296157758311</v>
      </c>
    </row>
    <row r="736" spans="1:3" x14ac:dyDescent="0.15">
      <c r="A736" s="22">
        <v>42198</v>
      </c>
      <c r="B736">
        <v>3885.97</v>
      </c>
      <c r="C736">
        <f t="shared" si="11"/>
        <v>1.5938125471667159</v>
      </c>
    </row>
    <row r="737" spans="1:3" x14ac:dyDescent="0.15">
      <c r="A737" s="22">
        <v>42199</v>
      </c>
      <c r="B737">
        <v>3903.31</v>
      </c>
      <c r="C737">
        <f t="shared" si="11"/>
        <v>1.6009244676313286</v>
      </c>
    </row>
    <row r="738" spans="1:3" x14ac:dyDescent="0.15">
      <c r="A738" s="22">
        <v>42200</v>
      </c>
      <c r="B738">
        <v>3900.5</v>
      </c>
      <c r="C738">
        <f t="shared" si="11"/>
        <v>1.5997719591823343</v>
      </c>
    </row>
    <row r="739" spans="1:3" x14ac:dyDescent="0.15">
      <c r="A739" s="22">
        <v>42201</v>
      </c>
      <c r="B739">
        <v>3931.85</v>
      </c>
      <c r="C739">
        <f t="shared" si="11"/>
        <v>1.6126300160776981</v>
      </c>
    </row>
    <row r="740" spans="1:3" x14ac:dyDescent="0.15">
      <c r="A740" s="22">
        <v>42202</v>
      </c>
      <c r="B740">
        <v>3936.22</v>
      </c>
      <c r="C740">
        <f t="shared" si="11"/>
        <v>1.6144223512812941</v>
      </c>
    </row>
    <row r="741" spans="1:3" x14ac:dyDescent="0.15">
      <c r="A741" s="22">
        <v>42205</v>
      </c>
      <c r="B741">
        <v>3939.35</v>
      </c>
      <c r="C741">
        <f t="shared" si="11"/>
        <v>1.615706106244053</v>
      </c>
    </row>
    <row r="742" spans="1:3" x14ac:dyDescent="0.15">
      <c r="A742" s="22">
        <v>42206</v>
      </c>
      <c r="B742">
        <v>3922.7</v>
      </c>
      <c r="C742">
        <f t="shared" si="11"/>
        <v>1.6088771860747448</v>
      </c>
    </row>
    <row r="743" spans="1:3" x14ac:dyDescent="0.15">
      <c r="A743" s="22">
        <v>42207</v>
      </c>
      <c r="B743">
        <v>3913.75</v>
      </c>
      <c r="C743">
        <f t="shared" si="11"/>
        <v>1.6052063851428948</v>
      </c>
    </row>
    <row r="744" spans="1:3" x14ac:dyDescent="0.15">
      <c r="A744" s="22">
        <v>42208</v>
      </c>
      <c r="B744">
        <v>3891.79</v>
      </c>
      <c r="C744">
        <f t="shared" si="11"/>
        <v>1.5961995931358075</v>
      </c>
    </row>
    <row r="745" spans="1:3" x14ac:dyDescent="0.15">
      <c r="A745" s="22">
        <v>42209</v>
      </c>
      <c r="B745">
        <v>3850.15</v>
      </c>
      <c r="C745">
        <f t="shared" si="11"/>
        <v>1.5791211405322048</v>
      </c>
    </row>
    <row r="746" spans="1:3" x14ac:dyDescent="0.15">
      <c r="A746" s="22">
        <v>42212</v>
      </c>
      <c r="B746">
        <v>3827.93</v>
      </c>
      <c r="C746">
        <f t="shared" si="11"/>
        <v>1.5700077107326837</v>
      </c>
    </row>
    <row r="747" spans="1:3" x14ac:dyDescent="0.15">
      <c r="A747" s="22">
        <v>42213</v>
      </c>
      <c r="B747">
        <v>3875.37</v>
      </c>
      <c r="C747">
        <f t="shared" si="11"/>
        <v>1.5894650063982676</v>
      </c>
    </row>
    <row r="748" spans="1:3" x14ac:dyDescent="0.15">
      <c r="A748" s="22">
        <v>42214</v>
      </c>
      <c r="B748">
        <v>3904.21</v>
      </c>
      <c r="C748">
        <f t="shared" si="11"/>
        <v>1.6012935984512913</v>
      </c>
    </row>
    <row r="749" spans="1:3" x14ac:dyDescent="0.15">
      <c r="A749" s="22">
        <v>42215</v>
      </c>
      <c r="B749">
        <v>3904.64</v>
      </c>
      <c r="C749">
        <f t="shared" si="11"/>
        <v>1.6014699609541623</v>
      </c>
    </row>
    <row r="750" spans="1:3" x14ac:dyDescent="0.15">
      <c r="A750" s="22">
        <v>42216</v>
      </c>
      <c r="B750">
        <v>3895.8</v>
      </c>
      <c r="C750">
        <f t="shared" si="11"/>
        <v>1.5978442760114187</v>
      </c>
    </row>
    <row r="751" spans="1:3" x14ac:dyDescent="0.15">
      <c r="A751" s="22">
        <v>42219</v>
      </c>
      <c r="B751">
        <v>3885.07</v>
      </c>
      <c r="C751">
        <f t="shared" si="11"/>
        <v>1.5934434163467535</v>
      </c>
    </row>
    <row r="752" spans="1:3" x14ac:dyDescent="0.15">
      <c r="A752" s="22">
        <v>42220</v>
      </c>
      <c r="B752">
        <v>3876.44</v>
      </c>
      <c r="C752">
        <f t="shared" si="11"/>
        <v>1.5899038619286676</v>
      </c>
    </row>
    <row r="753" spans="1:3" x14ac:dyDescent="0.15">
      <c r="A753" s="22">
        <v>42221</v>
      </c>
      <c r="B753">
        <v>3889.99</v>
      </c>
      <c r="C753">
        <f t="shared" si="11"/>
        <v>1.5954613314958821</v>
      </c>
    </row>
    <row r="754" spans="1:3" x14ac:dyDescent="0.15">
      <c r="A754" s="22">
        <v>42222</v>
      </c>
      <c r="B754">
        <v>3860.92</v>
      </c>
      <c r="C754">
        <f t="shared" si="11"/>
        <v>1.5835384060110904</v>
      </c>
    </row>
    <row r="755" spans="1:3" x14ac:dyDescent="0.15">
      <c r="A755" s="22">
        <v>42223</v>
      </c>
      <c r="B755">
        <v>3849.96</v>
      </c>
      <c r="C755">
        <f t="shared" si="11"/>
        <v>1.579043212914657</v>
      </c>
    </row>
    <row r="756" spans="1:3" x14ac:dyDescent="0.15">
      <c r="A756" s="22">
        <v>42226</v>
      </c>
      <c r="B756">
        <v>3899.36</v>
      </c>
      <c r="C756">
        <f t="shared" si="11"/>
        <v>1.5993043934770483</v>
      </c>
    </row>
    <row r="757" spans="1:3" x14ac:dyDescent="0.15">
      <c r="A757" s="22">
        <v>42227</v>
      </c>
      <c r="B757">
        <v>3862.81</v>
      </c>
      <c r="C757">
        <f t="shared" si="11"/>
        <v>1.5843135807330118</v>
      </c>
    </row>
    <row r="758" spans="1:3" x14ac:dyDescent="0.15">
      <c r="A758" s="22">
        <v>42228</v>
      </c>
      <c r="B758">
        <v>3867.37</v>
      </c>
      <c r="C758">
        <f t="shared" si="11"/>
        <v>1.5861838435541555</v>
      </c>
    </row>
    <row r="759" spans="1:3" x14ac:dyDescent="0.15">
      <c r="A759" s="22">
        <v>42229</v>
      </c>
      <c r="B759">
        <v>3863.03</v>
      </c>
      <c r="C759">
        <f t="shared" si="11"/>
        <v>1.584403812711225</v>
      </c>
    </row>
    <row r="760" spans="1:3" x14ac:dyDescent="0.15">
      <c r="A760" s="22">
        <v>42230</v>
      </c>
      <c r="B760">
        <v>3878.16</v>
      </c>
      <c r="C760">
        <f t="shared" si="11"/>
        <v>1.5906093119401516</v>
      </c>
    </row>
    <row r="761" spans="1:3" x14ac:dyDescent="0.15">
      <c r="A761" s="22">
        <v>42233</v>
      </c>
      <c r="B761">
        <v>3899.1</v>
      </c>
      <c r="C761">
        <f t="shared" si="11"/>
        <v>1.5991977556846146</v>
      </c>
    </row>
    <row r="762" spans="1:3" x14ac:dyDescent="0.15">
      <c r="A762" s="22">
        <v>42234</v>
      </c>
      <c r="B762">
        <v>3889.6</v>
      </c>
      <c r="C762">
        <f t="shared" si="11"/>
        <v>1.5953013748072318</v>
      </c>
    </row>
    <row r="763" spans="1:3" x14ac:dyDescent="0.15">
      <c r="A763" s="22">
        <v>42235</v>
      </c>
      <c r="B763">
        <v>3857.74</v>
      </c>
      <c r="C763">
        <f t="shared" si="11"/>
        <v>1.5822341437805558</v>
      </c>
    </row>
    <row r="764" spans="1:3" x14ac:dyDescent="0.15">
      <c r="A764" s="22">
        <v>42236</v>
      </c>
      <c r="B764">
        <v>3776.36</v>
      </c>
      <c r="C764">
        <f t="shared" si="11"/>
        <v>1.5488565147488271</v>
      </c>
    </row>
    <row r="765" spans="1:3" x14ac:dyDescent="0.15">
      <c r="A765" s="22">
        <v>42237</v>
      </c>
      <c r="B765">
        <v>3656.67</v>
      </c>
      <c r="C765">
        <f t="shared" si="11"/>
        <v>1.4997662171473571</v>
      </c>
    </row>
    <row r="766" spans="1:3" x14ac:dyDescent="0.15">
      <c r="A766" s="22">
        <v>42240</v>
      </c>
      <c r="B766">
        <v>3512.65</v>
      </c>
      <c r="C766">
        <f t="shared" si="11"/>
        <v>1.4406970830462318</v>
      </c>
    </row>
    <row r="767" spans="1:3" x14ac:dyDescent="0.15">
      <c r="A767" s="22">
        <v>42241</v>
      </c>
      <c r="B767">
        <v>3465.19</v>
      </c>
      <c r="C767">
        <f t="shared" si="11"/>
        <v>1.4212315844735375</v>
      </c>
    </row>
    <row r="768" spans="1:3" x14ac:dyDescent="0.15">
      <c r="A768" s="22">
        <v>42242</v>
      </c>
      <c r="B768">
        <v>3600.73</v>
      </c>
      <c r="C768">
        <f t="shared" si="11"/>
        <v>1.4768226859599043</v>
      </c>
    </row>
    <row r="769" spans="1:3" x14ac:dyDescent="0.15">
      <c r="A769" s="22">
        <v>42243</v>
      </c>
      <c r="B769">
        <v>3688.6</v>
      </c>
      <c r="C769">
        <f t="shared" si="11"/>
        <v>1.512862158348919</v>
      </c>
    </row>
    <row r="770" spans="1:3" x14ac:dyDescent="0.15">
      <c r="A770" s="22">
        <v>42244</v>
      </c>
      <c r="B770">
        <v>3691.3</v>
      </c>
      <c r="C770">
        <f t="shared" ref="C770:C833" si="12">(B770 / $B$2)</f>
        <v>1.5139695508088069</v>
      </c>
    </row>
    <row r="771" spans="1:3" x14ac:dyDescent="0.15">
      <c r="A771" s="22">
        <v>42247</v>
      </c>
      <c r="B771">
        <v>3660.75</v>
      </c>
      <c r="C771">
        <f t="shared" si="12"/>
        <v>1.5014396101978542</v>
      </c>
    </row>
    <row r="772" spans="1:3" x14ac:dyDescent="0.15">
      <c r="A772" s="22">
        <v>42248</v>
      </c>
      <c r="B772">
        <v>3552.65</v>
      </c>
      <c r="C772">
        <f t="shared" si="12"/>
        <v>1.4571028972667914</v>
      </c>
    </row>
    <row r="773" spans="1:3" x14ac:dyDescent="0.15">
      <c r="A773" s="22">
        <v>42249</v>
      </c>
      <c r="B773">
        <v>3618.25</v>
      </c>
      <c r="C773">
        <f t="shared" si="12"/>
        <v>1.4840084325885095</v>
      </c>
    </row>
    <row r="774" spans="1:3" x14ac:dyDescent="0.15">
      <c r="A774" s="22">
        <v>42250</v>
      </c>
      <c r="B774">
        <v>3622.66</v>
      </c>
      <c r="C774">
        <f t="shared" si="12"/>
        <v>1.4858171736063261</v>
      </c>
    </row>
    <row r="775" spans="1:3" x14ac:dyDescent="0.15">
      <c r="A775" s="22">
        <v>42251</v>
      </c>
      <c r="B775">
        <v>3567.41</v>
      </c>
      <c r="C775">
        <f t="shared" si="12"/>
        <v>1.463156642714178</v>
      </c>
    </row>
    <row r="776" spans="1:3" x14ac:dyDescent="0.15">
      <c r="A776" s="22">
        <v>42255</v>
      </c>
      <c r="B776">
        <v>3657.32</v>
      </c>
      <c r="C776">
        <f t="shared" si="12"/>
        <v>1.5000328116284414</v>
      </c>
    </row>
    <row r="777" spans="1:3" x14ac:dyDescent="0.15">
      <c r="A777" s="22">
        <v>42256</v>
      </c>
      <c r="B777">
        <v>3606.8</v>
      </c>
      <c r="C777">
        <f t="shared" si="12"/>
        <v>1.4793122682678743</v>
      </c>
    </row>
    <row r="778" spans="1:3" x14ac:dyDescent="0.15">
      <c r="A778" s="22">
        <v>42257</v>
      </c>
      <c r="B778">
        <v>3626.14</v>
      </c>
      <c r="C778">
        <f t="shared" si="12"/>
        <v>1.4872444794435149</v>
      </c>
    </row>
    <row r="779" spans="1:3" x14ac:dyDescent="0.15">
      <c r="A779" s="22">
        <v>42258</v>
      </c>
      <c r="B779">
        <v>3643.54</v>
      </c>
      <c r="C779">
        <f t="shared" si="12"/>
        <v>1.4943810086294584</v>
      </c>
    </row>
    <row r="780" spans="1:3" x14ac:dyDescent="0.15">
      <c r="A780" s="22">
        <v>42261</v>
      </c>
      <c r="B780">
        <v>3628.87</v>
      </c>
      <c r="C780">
        <f t="shared" si="12"/>
        <v>1.488364176264068</v>
      </c>
    </row>
    <row r="781" spans="1:3" x14ac:dyDescent="0.15">
      <c r="A781" s="22">
        <v>42262</v>
      </c>
      <c r="B781">
        <v>3675.48</v>
      </c>
      <c r="C781">
        <f t="shared" si="12"/>
        <v>1.5074810512845753</v>
      </c>
    </row>
    <row r="782" spans="1:3" x14ac:dyDescent="0.15">
      <c r="A782" s="22">
        <v>42263</v>
      </c>
      <c r="B782">
        <v>3707.62</v>
      </c>
      <c r="C782">
        <f t="shared" si="12"/>
        <v>1.520663123010795</v>
      </c>
    </row>
    <row r="783" spans="1:3" x14ac:dyDescent="0.15">
      <c r="A783" s="22">
        <v>42264</v>
      </c>
      <c r="B783">
        <v>3698.74</v>
      </c>
      <c r="C783">
        <f t="shared" si="12"/>
        <v>1.5170210322538307</v>
      </c>
    </row>
    <row r="784" spans="1:3" x14ac:dyDescent="0.15">
      <c r="A784" s="22">
        <v>42265</v>
      </c>
      <c r="B784">
        <v>3638.99</v>
      </c>
      <c r="C784">
        <f t="shared" si="12"/>
        <v>1.4925148472618697</v>
      </c>
    </row>
    <row r="785" spans="1:3" x14ac:dyDescent="0.15">
      <c r="A785" s="22">
        <v>42268</v>
      </c>
      <c r="B785">
        <v>3655.64</v>
      </c>
      <c r="C785">
        <f t="shared" si="12"/>
        <v>1.4993437674311776</v>
      </c>
    </row>
    <row r="786" spans="1:3" x14ac:dyDescent="0.15">
      <c r="A786" s="22">
        <v>42269</v>
      </c>
      <c r="B786">
        <v>3610.7</v>
      </c>
      <c r="C786">
        <f t="shared" si="12"/>
        <v>1.4809118351543786</v>
      </c>
    </row>
    <row r="787" spans="1:3" x14ac:dyDescent="0.15">
      <c r="A787" s="22">
        <v>42270</v>
      </c>
      <c r="B787">
        <v>3603.49</v>
      </c>
      <c r="C787">
        <f t="shared" si="12"/>
        <v>1.4779546871411229</v>
      </c>
    </row>
    <row r="788" spans="1:3" x14ac:dyDescent="0.15">
      <c r="A788" s="22">
        <v>42271</v>
      </c>
      <c r="B788">
        <v>3591.37</v>
      </c>
      <c r="C788">
        <f t="shared" si="12"/>
        <v>1.4729837254322933</v>
      </c>
    </row>
    <row r="789" spans="1:3" x14ac:dyDescent="0.15">
      <c r="A789" s="22">
        <v>42272</v>
      </c>
      <c r="B789">
        <v>3589.71</v>
      </c>
      <c r="C789">
        <f t="shared" si="12"/>
        <v>1.4723028841421402</v>
      </c>
    </row>
    <row r="790" spans="1:3" x14ac:dyDescent="0.15">
      <c r="A790" s="22">
        <v>42275</v>
      </c>
      <c r="B790">
        <v>3498.61</v>
      </c>
      <c r="C790">
        <f t="shared" si="12"/>
        <v>1.4349386422548152</v>
      </c>
    </row>
    <row r="791" spans="1:3" x14ac:dyDescent="0.15">
      <c r="A791" s="22">
        <v>42276</v>
      </c>
      <c r="B791">
        <v>3503.13</v>
      </c>
      <c r="C791">
        <f t="shared" si="12"/>
        <v>1.4367924992617385</v>
      </c>
    </row>
    <row r="792" spans="1:3" x14ac:dyDescent="0.15">
      <c r="A792" s="22">
        <v>42277</v>
      </c>
      <c r="B792">
        <v>3570.17</v>
      </c>
      <c r="C792">
        <f t="shared" si="12"/>
        <v>1.4642886438953966</v>
      </c>
    </row>
    <row r="793" spans="1:3" x14ac:dyDescent="0.15">
      <c r="A793" s="22">
        <v>42278</v>
      </c>
      <c r="B793">
        <v>3577.47</v>
      </c>
      <c r="C793">
        <f t="shared" si="12"/>
        <v>1.4672827049906487</v>
      </c>
    </row>
    <row r="794" spans="1:3" x14ac:dyDescent="0.15">
      <c r="A794" s="22">
        <v>42279</v>
      </c>
      <c r="B794">
        <v>3629.04</v>
      </c>
      <c r="C794">
        <f t="shared" si="12"/>
        <v>1.4884339009745053</v>
      </c>
    </row>
    <row r="795" spans="1:3" x14ac:dyDescent="0.15">
      <c r="A795" s="22">
        <v>42282</v>
      </c>
      <c r="B795">
        <v>3695.61</v>
      </c>
      <c r="C795">
        <f t="shared" si="12"/>
        <v>1.515737277291072</v>
      </c>
    </row>
    <row r="796" spans="1:3" x14ac:dyDescent="0.15">
      <c r="A796" s="22">
        <v>42283</v>
      </c>
      <c r="B796">
        <v>3682.33</v>
      </c>
      <c r="C796">
        <f t="shared" si="12"/>
        <v>1.5102905469698462</v>
      </c>
    </row>
    <row r="797" spans="1:3" x14ac:dyDescent="0.15">
      <c r="A797" s="22">
        <v>42284</v>
      </c>
      <c r="B797">
        <v>3713.36</v>
      </c>
      <c r="C797">
        <f t="shared" si="12"/>
        <v>1.5230173573514454</v>
      </c>
    </row>
    <row r="798" spans="1:3" x14ac:dyDescent="0.15">
      <c r="A798" s="22">
        <v>42285</v>
      </c>
      <c r="B798">
        <v>3746.12</v>
      </c>
      <c r="C798">
        <f t="shared" si="12"/>
        <v>1.5364537191980838</v>
      </c>
    </row>
    <row r="799" spans="1:3" x14ac:dyDescent="0.15">
      <c r="A799" s="22">
        <v>42286</v>
      </c>
      <c r="B799">
        <v>3748.96</v>
      </c>
      <c r="C799">
        <f t="shared" si="12"/>
        <v>1.5376185320077436</v>
      </c>
    </row>
    <row r="800" spans="1:3" x14ac:dyDescent="0.15">
      <c r="A800" s="22">
        <v>42289</v>
      </c>
      <c r="B800">
        <v>3753.73</v>
      </c>
      <c r="C800">
        <f t="shared" si="12"/>
        <v>1.5395749253535453</v>
      </c>
    </row>
    <row r="801" spans="1:3" x14ac:dyDescent="0.15">
      <c r="A801" s="22">
        <v>42290</v>
      </c>
      <c r="B801">
        <v>3728.48</v>
      </c>
      <c r="C801">
        <f t="shared" si="12"/>
        <v>1.529218755126817</v>
      </c>
    </row>
    <row r="802" spans="1:3" x14ac:dyDescent="0.15">
      <c r="A802" s="22">
        <v>42291</v>
      </c>
      <c r="B802">
        <v>3711.11</v>
      </c>
      <c r="C802">
        <f t="shared" si="12"/>
        <v>1.522094530301539</v>
      </c>
    </row>
    <row r="803" spans="1:3" x14ac:dyDescent="0.15">
      <c r="A803" s="22">
        <v>42292</v>
      </c>
      <c r="B803">
        <v>3766.43</v>
      </c>
      <c r="C803">
        <f t="shared" si="12"/>
        <v>1.544783771368573</v>
      </c>
    </row>
    <row r="804" spans="1:3" x14ac:dyDescent="0.15">
      <c r="A804" s="22">
        <v>42293</v>
      </c>
      <c r="B804">
        <v>3783.64</v>
      </c>
      <c r="C804">
        <f t="shared" si="12"/>
        <v>1.5518423729369688</v>
      </c>
    </row>
    <row r="805" spans="1:3" x14ac:dyDescent="0.15">
      <c r="A805" s="22">
        <v>42296</v>
      </c>
      <c r="B805">
        <v>3784.72</v>
      </c>
      <c r="C805">
        <f t="shared" si="12"/>
        <v>1.5522853299209241</v>
      </c>
    </row>
    <row r="806" spans="1:3" x14ac:dyDescent="0.15">
      <c r="A806" s="22">
        <v>42297</v>
      </c>
      <c r="B806">
        <v>3779.44</v>
      </c>
      <c r="C806">
        <f t="shared" si="12"/>
        <v>1.5501197624438101</v>
      </c>
    </row>
    <row r="807" spans="1:3" x14ac:dyDescent="0.15">
      <c r="A807" s="22">
        <v>42298</v>
      </c>
      <c r="B807">
        <v>3757.91</v>
      </c>
      <c r="C807">
        <f t="shared" si="12"/>
        <v>1.5412893329395938</v>
      </c>
    </row>
    <row r="808" spans="1:3" x14ac:dyDescent="0.15">
      <c r="A808" s="22">
        <v>42299</v>
      </c>
      <c r="B808">
        <v>3820.49</v>
      </c>
      <c r="C808">
        <f t="shared" si="12"/>
        <v>1.5669562292876595</v>
      </c>
    </row>
    <row r="809" spans="1:3" x14ac:dyDescent="0.15">
      <c r="A809" s="22">
        <v>42300</v>
      </c>
      <c r="B809">
        <v>3862.65</v>
      </c>
      <c r="C809">
        <f t="shared" si="12"/>
        <v>1.5842479574761297</v>
      </c>
    </row>
    <row r="810" spans="1:3" x14ac:dyDescent="0.15">
      <c r="A810" s="22">
        <v>42303</v>
      </c>
      <c r="B810">
        <v>3855.29</v>
      </c>
      <c r="C810">
        <f t="shared" si="12"/>
        <v>1.5812292876595466</v>
      </c>
    </row>
    <row r="811" spans="1:3" x14ac:dyDescent="0.15">
      <c r="A811" s="22">
        <v>42304</v>
      </c>
      <c r="B811">
        <v>3845.45</v>
      </c>
      <c r="C811">
        <f t="shared" si="12"/>
        <v>1.5771934573612889</v>
      </c>
    </row>
    <row r="812" spans="1:3" x14ac:dyDescent="0.15">
      <c r="A812" s="22">
        <v>42305</v>
      </c>
      <c r="B812">
        <v>3891.34</v>
      </c>
      <c r="C812">
        <f t="shared" si="12"/>
        <v>1.5960150277258263</v>
      </c>
    </row>
    <row r="813" spans="1:3" x14ac:dyDescent="0.15">
      <c r="A813" s="22">
        <v>42306</v>
      </c>
      <c r="B813">
        <v>3890.04</v>
      </c>
      <c r="C813">
        <f t="shared" si="12"/>
        <v>1.595481838763658</v>
      </c>
    </row>
    <row r="814" spans="1:3" x14ac:dyDescent="0.15">
      <c r="A814" s="22">
        <v>42307</v>
      </c>
      <c r="B814">
        <v>3871.33</v>
      </c>
      <c r="C814">
        <f t="shared" si="12"/>
        <v>1.587808019161991</v>
      </c>
    </row>
    <row r="815" spans="1:3" x14ac:dyDescent="0.15">
      <c r="A815" s="22">
        <v>42310</v>
      </c>
      <c r="B815">
        <v>3917.3</v>
      </c>
      <c r="C815">
        <f t="shared" si="12"/>
        <v>1.6066624011549695</v>
      </c>
    </row>
    <row r="816" spans="1:3" x14ac:dyDescent="0.15">
      <c r="A816" s="22">
        <v>42311</v>
      </c>
      <c r="B816">
        <v>3928.05</v>
      </c>
      <c r="C816">
        <f t="shared" si="12"/>
        <v>1.6110714637267449</v>
      </c>
    </row>
    <row r="817" spans="1:3" x14ac:dyDescent="0.15">
      <c r="A817" s="22">
        <v>42312</v>
      </c>
      <c r="B817">
        <v>3915.52</v>
      </c>
      <c r="C817">
        <f t="shared" si="12"/>
        <v>1.6059323424221545</v>
      </c>
    </row>
    <row r="818" spans="1:3" x14ac:dyDescent="0.15">
      <c r="A818" s="22">
        <v>42313</v>
      </c>
      <c r="B818">
        <v>3911.89</v>
      </c>
      <c r="C818">
        <f t="shared" si="12"/>
        <v>1.6044435147816387</v>
      </c>
    </row>
    <row r="819" spans="1:3" x14ac:dyDescent="0.15">
      <c r="A819" s="22">
        <v>42314</v>
      </c>
      <c r="B819">
        <v>3910.98</v>
      </c>
      <c r="C819">
        <f t="shared" si="12"/>
        <v>1.604070282508121</v>
      </c>
    </row>
    <row r="820" spans="1:3" x14ac:dyDescent="0.15">
      <c r="A820" s="22">
        <v>42317</v>
      </c>
      <c r="B820">
        <v>3873.37</v>
      </c>
      <c r="C820">
        <f t="shared" si="12"/>
        <v>1.5886447156872396</v>
      </c>
    </row>
    <row r="821" spans="1:3" x14ac:dyDescent="0.15">
      <c r="A821" s="22">
        <v>42318</v>
      </c>
      <c r="B821">
        <v>3880.23</v>
      </c>
      <c r="C821">
        <f t="shared" si="12"/>
        <v>1.5914583128260658</v>
      </c>
    </row>
    <row r="822" spans="1:3" x14ac:dyDescent="0.15">
      <c r="A822" s="22">
        <v>42319</v>
      </c>
      <c r="B822">
        <v>3867.71</v>
      </c>
      <c r="C822">
        <f t="shared" si="12"/>
        <v>1.5863232929750304</v>
      </c>
    </row>
    <row r="823" spans="1:3" x14ac:dyDescent="0.15">
      <c r="A823" s="22">
        <v>42320</v>
      </c>
      <c r="B823">
        <v>3814.29</v>
      </c>
      <c r="C823">
        <f t="shared" si="12"/>
        <v>1.5644133280834729</v>
      </c>
    </row>
    <row r="824" spans="1:3" x14ac:dyDescent="0.15">
      <c r="A824" s="22">
        <v>42321</v>
      </c>
      <c r="B824">
        <v>3771.59</v>
      </c>
      <c r="C824">
        <f t="shared" si="12"/>
        <v>1.5469001214030254</v>
      </c>
    </row>
    <row r="825" spans="1:3" x14ac:dyDescent="0.15">
      <c r="A825" s="22">
        <v>42324</v>
      </c>
      <c r="B825">
        <v>3828.46</v>
      </c>
      <c r="C825">
        <f t="shared" si="12"/>
        <v>1.5702250877711061</v>
      </c>
    </row>
    <row r="826" spans="1:3" x14ac:dyDescent="0.15">
      <c r="A826" s="22">
        <v>42325</v>
      </c>
      <c r="B826">
        <v>3824.14</v>
      </c>
      <c r="C826">
        <f t="shared" si="12"/>
        <v>1.5684532598352856</v>
      </c>
    </row>
    <row r="827" spans="1:3" x14ac:dyDescent="0.15">
      <c r="A827" s="22">
        <v>42326</v>
      </c>
      <c r="B827">
        <v>3886.26</v>
      </c>
      <c r="C827">
        <f t="shared" si="12"/>
        <v>1.5939314893198151</v>
      </c>
    </row>
    <row r="828" spans="1:3" x14ac:dyDescent="0.15">
      <c r="A828" s="22">
        <v>42327</v>
      </c>
      <c r="B828">
        <v>3882.06</v>
      </c>
      <c r="C828">
        <f t="shared" si="12"/>
        <v>1.5922088788266562</v>
      </c>
    </row>
    <row r="829" spans="1:3" x14ac:dyDescent="0.15">
      <c r="A829" s="22">
        <v>42328</v>
      </c>
      <c r="B829">
        <v>3897.45</v>
      </c>
      <c r="C829">
        <f t="shared" si="12"/>
        <v>1.5985210158480165</v>
      </c>
    </row>
    <row r="830" spans="1:3" x14ac:dyDescent="0.15">
      <c r="A830" s="22">
        <v>42331</v>
      </c>
      <c r="B830">
        <v>3892.8</v>
      </c>
      <c r="C830">
        <f t="shared" si="12"/>
        <v>1.5966138399448766</v>
      </c>
    </row>
    <row r="831" spans="1:3" x14ac:dyDescent="0.15">
      <c r="A831" s="22">
        <v>42332</v>
      </c>
      <c r="B831">
        <v>3897.67</v>
      </c>
      <c r="C831">
        <f t="shared" si="12"/>
        <v>1.5986112478262298</v>
      </c>
    </row>
    <row r="832" spans="1:3" x14ac:dyDescent="0.15">
      <c r="A832" s="22">
        <v>42333</v>
      </c>
      <c r="B832">
        <v>3897.57</v>
      </c>
      <c r="C832">
        <f t="shared" si="12"/>
        <v>1.5985702332906784</v>
      </c>
    </row>
    <row r="833" spans="1:3" x14ac:dyDescent="0.15">
      <c r="A833" s="22">
        <v>42335</v>
      </c>
      <c r="B833">
        <v>3900.74</v>
      </c>
      <c r="C833">
        <f t="shared" si="12"/>
        <v>1.5998703940676575</v>
      </c>
    </row>
    <row r="834" spans="1:3" x14ac:dyDescent="0.15">
      <c r="A834" s="22">
        <v>42338</v>
      </c>
      <c r="B834">
        <v>3882.84</v>
      </c>
      <c r="C834">
        <f t="shared" ref="C834:C897" si="13">(B834 / $B$2)</f>
        <v>1.5925287922039573</v>
      </c>
    </row>
    <row r="835" spans="1:3" x14ac:dyDescent="0.15">
      <c r="A835" s="22">
        <v>42339</v>
      </c>
      <c r="B835">
        <v>3924.63</v>
      </c>
      <c r="C835">
        <f t="shared" si="13"/>
        <v>1.6096687666108871</v>
      </c>
    </row>
    <row r="836" spans="1:3" x14ac:dyDescent="0.15">
      <c r="A836" s="22">
        <v>42340</v>
      </c>
      <c r="B836">
        <v>3882.38</v>
      </c>
      <c r="C836">
        <f t="shared" si="13"/>
        <v>1.5923401253404208</v>
      </c>
    </row>
    <row r="837" spans="1:3" x14ac:dyDescent="0.15">
      <c r="A837" s="22">
        <v>42341</v>
      </c>
      <c r="B837">
        <v>3826.74</v>
      </c>
      <c r="C837">
        <f t="shared" si="13"/>
        <v>1.5695196377596221</v>
      </c>
    </row>
    <row r="838" spans="1:3" x14ac:dyDescent="0.15">
      <c r="A838" s="22">
        <v>42342</v>
      </c>
      <c r="B838">
        <v>3905.31</v>
      </c>
      <c r="C838">
        <f t="shared" si="13"/>
        <v>1.6017447583423565</v>
      </c>
    </row>
    <row r="839" spans="1:3" x14ac:dyDescent="0.15">
      <c r="A839" s="22">
        <v>42345</v>
      </c>
      <c r="B839">
        <v>3878.31</v>
      </c>
      <c r="C839">
        <f t="shared" si="13"/>
        <v>1.5906708337434787</v>
      </c>
    </row>
    <row r="840" spans="1:3" x14ac:dyDescent="0.15">
      <c r="A840" s="22">
        <v>42346</v>
      </c>
      <c r="B840">
        <v>3853.48</v>
      </c>
      <c r="C840">
        <f t="shared" si="13"/>
        <v>1.5804869245660662</v>
      </c>
    </row>
    <row r="841" spans="1:3" x14ac:dyDescent="0.15">
      <c r="A841" s="22">
        <v>42347</v>
      </c>
      <c r="B841">
        <v>3823.9</v>
      </c>
      <c r="C841">
        <f t="shared" si="13"/>
        <v>1.5683548249499624</v>
      </c>
    </row>
    <row r="842" spans="1:3" x14ac:dyDescent="0.15">
      <c r="A842" s="22">
        <v>42348</v>
      </c>
      <c r="B842">
        <v>3832.93</v>
      </c>
      <c r="C842">
        <f t="shared" si="13"/>
        <v>1.5720584375102538</v>
      </c>
    </row>
    <row r="843" spans="1:3" x14ac:dyDescent="0.15">
      <c r="A843" s="22">
        <v>42349</v>
      </c>
      <c r="B843">
        <v>3759.09</v>
      </c>
      <c r="C843">
        <f t="shared" si="13"/>
        <v>1.5417733044591004</v>
      </c>
    </row>
    <row r="844" spans="1:3" x14ac:dyDescent="0.15">
      <c r="A844" s="22">
        <v>42352</v>
      </c>
      <c r="B844">
        <v>3777.22</v>
      </c>
      <c r="C844">
        <f t="shared" si="13"/>
        <v>1.5492092397545689</v>
      </c>
    </row>
    <row r="845" spans="1:3" x14ac:dyDescent="0.15">
      <c r="A845" s="22">
        <v>42353</v>
      </c>
      <c r="B845">
        <v>3817.36</v>
      </c>
      <c r="C845">
        <f t="shared" si="13"/>
        <v>1.5656724743249009</v>
      </c>
    </row>
    <row r="846" spans="1:3" x14ac:dyDescent="0.15">
      <c r="A846" s="22">
        <v>42354</v>
      </c>
      <c r="B846">
        <v>3873.12</v>
      </c>
      <c r="C846">
        <f t="shared" si="13"/>
        <v>1.5885421793483612</v>
      </c>
    </row>
    <row r="847" spans="1:3" x14ac:dyDescent="0.15">
      <c r="A847" s="22">
        <v>42355</v>
      </c>
      <c r="B847">
        <v>3815.46</v>
      </c>
      <c r="C847">
        <f t="shared" si="13"/>
        <v>1.5648931981494243</v>
      </c>
    </row>
    <row r="848" spans="1:3" x14ac:dyDescent="0.15">
      <c r="A848" s="22">
        <v>42356</v>
      </c>
      <c r="B848">
        <v>3747.56</v>
      </c>
      <c r="C848">
        <f t="shared" si="13"/>
        <v>1.5370443285100239</v>
      </c>
    </row>
    <row r="849" spans="1:3" x14ac:dyDescent="0.15">
      <c r="A849" s="22">
        <v>42359</v>
      </c>
      <c r="B849">
        <v>3777.15</v>
      </c>
      <c r="C849">
        <f t="shared" si="13"/>
        <v>1.5491805295796832</v>
      </c>
    </row>
    <row r="850" spans="1:3" x14ac:dyDescent="0.15">
      <c r="A850" s="22">
        <v>42360</v>
      </c>
      <c r="B850">
        <v>3810.85</v>
      </c>
      <c r="C850">
        <f t="shared" si="13"/>
        <v>1.5630024280605046</v>
      </c>
    </row>
    <row r="851" spans="1:3" x14ac:dyDescent="0.15">
      <c r="A851" s="22">
        <v>42361</v>
      </c>
      <c r="B851">
        <v>3858.47</v>
      </c>
      <c r="C851">
        <f t="shared" si="13"/>
        <v>1.582533549890081</v>
      </c>
    </row>
    <row r="852" spans="1:3" x14ac:dyDescent="0.15">
      <c r="A852" s="22">
        <v>42362</v>
      </c>
      <c r="B852">
        <v>3852.31</v>
      </c>
      <c r="C852">
        <f t="shared" si="13"/>
        <v>1.5800070545001148</v>
      </c>
    </row>
    <row r="853" spans="1:3" x14ac:dyDescent="0.15">
      <c r="A853" s="22">
        <v>42366</v>
      </c>
      <c r="B853">
        <v>3843.94</v>
      </c>
      <c r="C853">
        <f t="shared" si="13"/>
        <v>1.5765741378744629</v>
      </c>
    </row>
    <row r="854" spans="1:3" x14ac:dyDescent="0.15">
      <c r="A854" s="22">
        <v>42367</v>
      </c>
      <c r="B854">
        <v>3885.55</v>
      </c>
      <c r="C854">
        <f t="shared" si="13"/>
        <v>1.5936402861174002</v>
      </c>
    </row>
    <row r="855" spans="1:3" x14ac:dyDescent="0.15">
      <c r="A855" s="22">
        <v>42368</v>
      </c>
      <c r="B855">
        <v>3857.9</v>
      </c>
      <c r="C855">
        <f t="shared" si="13"/>
        <v>1.5822997670374381</v>
      </c>
    </row>
    <row r="856" spans="1:3" x14ac:dyDescent="0.15">
      <c r="A856" s="22">
        <v>42369</v>
      </c>
      <c r="B856">
        <v>3821.6</v>
      </c>
      <c r="C856">
        <f t="shared" si="13"/>
        <v>1.5674114906322802</v>
      </c>
    </row>
    <row r="857" spans="1:3" x14ac:dyDescent="0.15">
      <c r="A857" s="22">
        <v>42373</v>
      </c>
      <c r="B857">
        <v>3763.99</v>
      </c>
      <c r="C857">
        <f t="shared" si="13"/>
        <v>1.5437830167011188</v>
      </c>
    </row>
    <row r="858" spans="1:3" x14ac:dyDescent="0.15">
      <c r="A858" s="22">
        <v>42374</v>
      </c>
      <c r="B858">
        <v>3771.57</v>
      </c>
      <c r="C858">
        <f t="shared" si="13"/>
        <v>1.5468919184959151</v>
      </c>
    </row>
    <row r="859" spans="1:3" x14ac:dyDescent="0.15">
      <c r="A859" s="22">
        <v>42375</v>
      </c>
      <c r="B859">
        <v>3723.44</v>
      </c>
      <c r="C859">
        <f t="shared" si="13"/>
        <v>1.5271516225350266</v>
      </c>
    </row>
    <row r="860" spans="1:3" x14ac:dyDescent="0.15">
      <c r="A860" s="22">
        <v>42376</v>
      </c>
      <c r="B860">
        <v>3635.29</v>
      </c>
      <c r="C860">
        <f t="shared" si="13"/>
        <v>1.4909973094464679</v>
      </c>
    </row>
    <row r="861" spans="1:3" x14ac:dyDescent="0.15">
      <c r="A861" s="22">
        <v>42377</v>
      </c>
      <c r="B861">
        <v>3595.91</v>
      </c>
      <c r="C861">
        <f t="shared" si="13"/>
        <v>1.4748457853463268</v>
      </c>
    </row>
    <row r="862" spans="1:3" x14ac:dyDescent="0.15">
      <c r="A862" s="22">
        <v>42380</v>
      </c>
      <c r="B862">
        <v>3598.97</v>
      </c>
      <c r="C862">
        <f t="shared" si="13"/>
        <v>1.4761008301341996</v>
      </c>
    </row>
    <row r="863" spans="1:3" x14ac:dyDescent="0.15">
      <c r="A863" s="22">
        <v>42381</v>
      </c>
      <c r="B863">
        <v>3627.06</v>
      </c>
      <c r="C863">
        <f t="shared" si="13"/>
        <v>1.4876218131705876</v>
      </c>
    </row>
    <row r="864" spans="1:3" x14ac:dyDescent="0.15">
      <c r="A864" s="22">
        <v>42382</v>
      </c>
      <c r="B864">
        <v>3536.92</v>
      </c>
      <c r="C864">
        <f t="shared" si="13"/>
        <v>1.4506513108245562</v>
      </c>
    </row>
    <row r="865" spans="1:3" x14ac:dyDescent="0.15">
      <c r="A865" s="22">
        <v>42383</v>
      </c>
      <c r="B865">
        <v>3596.03</v>
      </c>
      <c r="C865">
        <f t="shared" si="13"/>
        <v>1.4748950027889887</v>
      </c>
    </row>
    <row r="866" spans="1:3" x14ac:dyDescent="0.15">
      <c r="A866" s="22">
        <v>42384</v>
      </c>
      <c r="B866">
        <v>3518.51</v>
      </c>
      <c r="C866">
        <f t="shared" si="13"/>
        <v>1.4431005348295438</v>
      </c>
    </row>
    <row r="867" spans="1:3" x14ac:dyDescent="0.15">
      <c r="A867" s="22">
        <v>42388</v>
      </c>
      <c r="B867">
        <v>3520.4</v>
      </c>
      <c r="C867">
        <f t="shared" si="13"/>
        <v>1.4438757095514652</v>
      </c>
    </row>
    <row r="868" spans="1:3" x14ac:dyDescent="0.15">
      <c r="A868" s="22">
        <v>42389</v>
      </c>
      <c r="B868">
        <v>3479.75</v>
      </c>
      <c r="C868">
        <f t="shared" si="13"/>
        <v>1.4272033008498213</v>
      </c>
    </row>
    <row r="869" spans="1:3" x14ac:dyDescent="0.15">
      <c r="A869" s="22">
        <v>42390</v>
      </c>
      <c r="B869">
        <v>3497.94</v>
      </c>
      <c r="C869">
        <f t="shared" si="13"/>
        <v>1.4346638448666209</v>
      </c>
    </row>
    <row r="870" spans="1:3" x14ac:dyDescent="0.15">
      <c r="A870" s="22">
        <v>42391</v>
      </c>
      <c r="B870">
        <v>3568.9</v>
      </c>
      <c r="C870">
        <f t="shared" si="13"/>
        <v>1.4637677592938938</v>
      </c>
    </row>
    <row r="871" spans="1:3" x14ac:dyDescent="0.15">
      <c r="A871" s="22">
        <v>42394</v>
      </c>
      <c r="B871">
        <v>3513.11</v>
      </c>
      <c r="C871">
        <f t="shared" si="13"/>
        <v>1.4408857499097683</v>
      </c>
    </row>
    <row r="872" spans="1:3" x14ac:dyDescent="0.15">
      <c r="A872" s="22">
        <v>42395</v>
      </c>
      <c r="B872">
        <v>3562.81</v>
      </c>
      <c r="C872">
        <f t="shared" si="13"/>
        <v>1.4612699740788135</v>
      </c>
    </row>
    <row r="873" spans="1:3" x14ac:dyDescent="0.15">
      <c r="A873" s="22">
        <v>42396</v>
      </c>
      <c r="B873">
        <v>3524.33</v>
      </c>
      <c r="C873">
        <f t="shared" si="13"/>
        <v>1.4454875807986352</v>
      </c>
    </row>
    <row r="874" spans="1:3" x14ac:dyDescent="0.15">
      <c r="A874" s="22">
        <v>42397</v>
      </c>
      <c r="B874">
        <v>3544.13</v>
      </c>
      <c r="C874">
        <f t="shared" si="13"/>
        <v>1.4536084588378122</v>
      </c>
    </row>
    <row r="875" spans="1:3" x14ac:dyDescent="0.15">
      <c r="A875" s="22">
        <v>42398</v>
      </c>
      <c r="B875">
        <v>3631.96</v>
      </c>
      <c r="C875">
        <f t="shared" si="13"/>
        <v>1.4896315254126062</v>
      </c>
    </row>
    <row r="876" spans="1:3" x14ac:dyDescent="0.15">
      <c r="A876" s="22">
        <v>42401</v>
      </c>
      <c r="B876">
        <v>3630.46</v>
      </c>
      <c r="C876">
        <f t="shared" si="13"/>
        <v>1.4890163073793354</v>
      </c>
    </row>
    <row r="877" spans="1:3" x14ac:dyDescent="0.15">
      <c r="A877" s="22">
        <v>42402</v>
      </c>
      <c r="B877">
        <v>3562.52</v>
      </c>
      <c r="C877">
        <f t="shared" si="13"/>
        <v>1.4611510319257146</v>
      </c>
    </row>
    <row r="878" spans="1:3" x14ac:dyDescent="0.15">
      <c r="A878" s="22">
        <v>42403</v>
      </c>
      <c r="B878">
        <v>3581.53</v>
      </c>
      <c r="C878">
        <f t="shared" si="13"/>
        <v>1.4689478951340356</v>
      </c>
    </row>
    <row r="879" spans="1:3" x14ac:dyDescent="0.15">
      <c r="A879" s="22">
        <v>42404</v>
      </c>
      <c r="B879">
        <v>3587.71</v>
      </c>
      <c r="C879">
        <f t="shared" si="13"/>
        <v>1.471482593431112</v>
      </c>
    </row>
    <row r="880" spans="1:3" x14ac:dyDescent="0.15">
      <c r="A880" s="22">
        <v>42405</v>
      </c>
      <c r="B880">
        <v>3521.6</v>
      </c>
      <c r="C880">
        <f t="shared" si="13"/>
        <v>1.4443678839780818</v>
      </c>
    </row>
    <row r="881" spans="1:3" x14ac:dyDescent="0.15">
      <c r="A881" s="22">
        <v>42408</v>
      </c>
      <c r="B881">
        <v>3472.08</v>
      </c>
      <c r="C881">
        <f t="shared" si="13"/>
        <v>1.4240574859730288</v>
      </c>
    </row>
    <row r="882" spans="1:3" x14ac:dyDescent="0.15">
      <c r="A882" s="22">
        <v>42409</v>
      </c>
      <c r="B882">
        <v>3470.5</v>
      </c>
      <c r="C882">
        <f t="shared" si="13"/>
        <v>1.4234094563113169</v>
      </c>
    </row>
    <row r="883" spans="1:3" x14ac:dyDescent="0.15">
      <c r="A883" s="22">
        <v>42410</v>
      </c>
      <c r="B883">
        <v>3471.04</v>
      </c>
      <c r="C883">
        <f t="shared" si="13"/>
        <v>1.4236309348032943</v>
      </c>
    </row>
    <row r="884" spans="1:3" x14ac:dyDescent="0.15">
      <c r="A884" s="22">
        <v>42411</v>
      </c>
      <c r="B884">
        <v>3428.99</v>
      </c>
      <c r="C884">
        <f t="shared" si="13"/>
        <v>1.4063843226039308</v>
      </c>
    </row>
    <row r="885" spans="1:3" x14ac:dyDescent="0.15">
      <c r="A885" s="22">
        <v>42412</v>
      </c>
      <c r="B885">
        <v>3496.28</v>
      </c>
      <c r="C885">
        <f t="shared" si="13"/>
        <v>1.4339830035764676</v>
      </c>
    </row>
    <row r="886" spans="1:3" x14ac:dyDescent="0.15">
      <c r="A886" s="22">
        <v>42416</v>
      </c>
      <c r="B886">
        <v>3555.2</v>
      </c>
      <c r="C886">
        <f t="shared" si="13"/>
        <v>1.458148767923352</v>
      </c>
    </row>
    <row r="887" spans="1:3" x14ac:dyDescent="0.15">
      <c r="A887" s="22">
        <v>42417</v>
      </c>
      <c r="B887">
        <v>3614.16</v>
      </c>
      <c r="C887">
        <f t="shared" si="13"/>
        <v>1.4823309380844572</v>
      </c>
    </row>
    <row r="888" spans="1:3" x14ac:dyDescent="0.15">
      <c r="A888" s="22">
        <v>42418</v>
      </c>
      <c r="B888">
        <v>3597.49</v>
      </c>
      <c r="C888">
        <f t="shared" si="13"/>
        <v>1.4754938150080388</v>
      </c>
    </row>
    <row r="889" spans="1:3" x14ac:dyDescent="0.15">
      <c r="A889" s="22">
        <v>42419</v>
      </c>
      <c r="B889">
        <v>3597.92</v>
      </c>
      <c r="C889">
        <f t="shared" si="13"/>
        <v>1.47567017751091</v>
      </c>
    </row>
    <row r="890" spans="1:3" x14ac:dyDescent="0.15">
      <c r="A890" s="22">
        <v>42422</v>
      </c>
      <c r="B890">
        <v>3649.92</v>
      </c>
      <c r="C890">
        <f t="shared" si="13"/>
        <v>1.4969977359976376</v>
      </c>
    </row>
    <row r="891" spans="1:3" x14ac:dyDescent="0.15">
      <c r="A891" s="22">
        <v>42423</v>
      </c>
      <c r="B891">
        <v>3604.68</v>
      </c>
      <c r="C891">
        <f t="shared" si="13"/>
        <v>1.4784427601141845</v>
      </c>
    </row>
    <row r="892" spans="1:3" x14ac:dyDescent="0.15">
      <c r="A892" s="22">
        <v>42424</v>
      </c>
      <c r="B892">
        <v>3620.87</v>
      </c>
      <c r="C892">
        <f t="shared" si="13"/>
        <v>1.485083013419956</v>
      </c>
    </row>
    <row r="893" spans="1:3" x14ac:dyDescent="0.15">
      <c r="A893" s="22">
        <v>42425</v>
      </c>
      <c r="B893">
        <v>3662.84</v>
      </c>
      <c r="C893">
        <f t="shared" si="13"/>
        <v>1.5022968139908786</v>
      </c>
    </row>
    <row r="894" spans="1:3" x14ac:dyDescent="0.15">
      <c r="A894" s="22">
        <v>42426</v>
      </c>
      <c r="B894">
        <v>3656.42</v>
      </c>
      <c r="C894">
        <f t="shared" si="13"/>
        <v>1.4996636808084787</v>
      </c>
    </row>
    <row r="895" spans="1:3" x14ac:dyDescent="0.15">
      <c r="A895" s="22">
        <v>42429</v>
      </c>
      <c r="B895">
        <v>3627.06</v>
      </c>
      <c r="C895">
        <f t="shared" si="13"/>
        <v>1.4876218131705876</v>
      </c>
    </row>
    <row r="896" spans="1:3" x14ac:dyDescent="0.15">
      <c r="A896" s="22">
        <v>42430</v>
      </c>
      <c r="B896">
        <v>3713.7</v>
      </c>
      <c r="C896">
        <f t="shared" si="13"/>
        <v>1.5231568067723202</v>
      </c>
    </row>
    <row r="897" spans="1:3" x14ac:dyDescent="0.15">
      <c r="A897" s="22">
        <v>42431</v>
      </c>
      <c r="B897">
        <v>3729.59</v>
      </c>
      <c r="C897">
        <f t="shared" si="13"/>
        <v>1.5296740164714375</v>
      </c>
    </row>
    <row r="898" spans="1:3" x14ac:dyDescent="0.15">
      <c r="A898" s="22">
        <v>42432</v>
      </c>
      <c r="B898">
        <v>3743.02</v>
      </c>
      <c r="C898">
        <f t="shared" ref="C898:C961" si="14">(B898 / $B$2)</f>
        <v>1.5351822685959906</v>
      </c>
    </row>
    <row r="899" spans="1:3" x14ac:dyDescent="0.15">
      <c r="A899" s="22">
        <v>42433</v>
      </c>
      <c r="B899">
        <v>3755.47</v>
      </c>
      <c r="C899">
        <f t="shared" si="14"/>
        <v>1.5402885782721396</v>
      </c>
    </row>
    <row r="900" spans="1:3" x14ac:dyDescent="0.15">
      <c r="A900" s="22">
        <v>42436</v>
      </c>
      <c r="B900">
        <v>3759.05</v>
      </c>
      <c r="C900">
        <f t="shared" si="14"/>
        <v>1.54175689864488</v>
      </c>
    </row>
    <row r="901" spans="1:3" x14ac:dyDescent="0.15">
      <c r="A901" s="22">
        <v>42437</v>
      </c>
      <c r="B901">
        <v>3717.49</v>
      </c>
      <c r="C901">
        <f t="shared" si="14"/>
        <v>1.5247112576697182</v>
      </c>
    </row>
    <row r="902" spans="1:3" x14ac:dyDescent="0.15">
      <c r="A902" s="22">
        <v>42438</v>
      </c>
      <c r="B902">
        <v>3736.92</v>
      </c>
      <c r="C902">
        <f t="shared" si="14"/>
        <v>1.5326803819273551</v>
      </c>
    </row>
    <row r="903" spans="1:3" x14ac:dyDescent="0.15">
      <c r="A903" s="22">
        <v>42439</v>
      </c>
      <c r="B903">
        <v>3737.74</v>
      </c>
      <c r="C903">
        <f t="shared" si="14"/>
        <v>1.5330167011188764</v>
      </c>
    </row>
    <row r="904" spans="1:3" x14ac:dyDescent="0.15">
      <c r="A904" s="22">
        <v>42440</v>
      </c>
      <c r="B904">
        <v>3800.07</v>
      </c>
      <c r="C904">
        <f t="shared" si="14"/>
        <v>1.5585810611280639</v>
      </c>
    </row>
    <row r="905" spans="1:3" x14ac:dyDescent="0.15">
      <c r="A905" s="22">
        <v>42443</v>
      </c>
      <c r="B905">
        <v>3795.53</v>
      </c>
      <c r="C905">
        <f t="shared" si="14"/>
        <v>1.5567190012140304</v>
      </c>
    </row>
    <row r="906" spans="1:3" x14ac:dyDescent="0.15">
      <c r="A906" s="22">
        <v>42444</v>
      </c>
      <c r="B906">
        <v>3788.62</v>
      </c>
      <c r="C906">
        <f t="shared" si="14"/>
        <v>1.5538848968074286</v>
      </c>
    </row>
    <row r="907" spans="1:3" x14ac:dyDescent="0.15">
      <c r="A907" s="22">
        <v>42445</v>
      </c>
      <c r="B907">
        <v>3810.09</v>
      </c>
      <c r="C907">
        <f t="shared" si="14"/>
        <v>1.5626907175903142</v>
      </c>
    </row>
    <row r="908" spans="1:3" x14ac:dyDescent="0.15">
      <c r="A908" s="22">
        <v>42446</v>
      </c>
      <c r="B908">
        <v>3835.26</v>
      </c>
      <c r="C908">
        <f t="shared" si="14"/>
        <v>1.5730140761886013</v>
      </c>
    </row>
    <row r="909" spans="1:3" x14ac:dyDescent="0.15">
      <c r="A909" s="22">
        <v>42447</v>
      </c>
      <c r="B909">
        <v>3852.15</v>
      </c>
      <c r="C909">
        <f t="shared" si="14"/>
        <v>1.5799414312432327</v>
      </c>
    </row>
    <row r="910" spans="1:3" x14ac:dyDescent="0.15">
      <c r="A910" s="22">
        <v>42450</v>
      </c>
      <c r="B910">
        <v>3855.97</v>
      </c>
      <c r="C910">
        <f t="shared" si="14"/>
        <v>1.5815081865012961</v>
      </c>
    </row>
    <row r="911" spans="1:3" x14ac:dyDescent="0.15">
      <c r="A911" s="22">
        <v>42451</v>
      </c>
      <c r="B911">
        <v>3853.18</v>
      </c>
      <c r="C911">
        <f t="shared" si="14"/>
        <v>1.580363880959412</v>
      </c>
    </row>
    <row r="912" spans="1:3" x14ac:dyDescent="0.15">
      <c r="A912" s="22">
        <v>42452</v>
      </c>
      <c r="B912">
        <v>3828.58</v>
      </c>
      <c r="C912">
        <f t="shared" si="14"/>
        <v>1.5702743052137678</v>
      </c>
    </row>
    <row r="913" spans="1:3" x14ac:dyDescent="0.15">
      <c r="A913" s="22">
        <v>42453</v>
      </c>
      <c r="B913">
        <v>3827.14</v>
      </c>
      <c r="C913">
        <f t="shared" si="14"/>
        <v>1.5696836959018277</v>
      </c>
    </row>
    <row r="914" spans="1:3" x14ac:dyDescent="0.15">
      <c r="A914" s="22">
        <v>42457</v>
      </c>
      <c r="B914">
        <v>3829.26</v>
      </c>
      <c r="C914">
        <f t="shared" si="14"/>
        <v>1.5705532040555175</v>
      </c>
    </row>
    <row r="915" spans="1:3" x14ac:dyDescent="0.15">
      <c r="A915" s="22">
        <v>42458</v>
      </c>
      <c r="B915">
        <v>3863.8</v>
      </c>
      <c r="C915">
        <f t="shared" si="14"/>
        <v>1.5847196246349708</v>
      </c>
    </row>
    <row r="916" spans="1:3" x14ac:dyDescent="0.15">
      <c r="A916" s="22">
        <v>42459</v>
      </c>
      <c r="B916">
        <v>3881.01</v>
      </c>
      <c r="C916">
        <f t="shared" si="14"/>
        <v>1.5917782262033666</v>
      </c>
    </row>
    <row r="917" spans="1:3" x14ac:dyDescent="0.15">
      <c r="A917" s="22">
        <v>42460</v>
      </c>
      <c r="B917">
        <v>3873.11</v>
      </c>
      <c r="C917">
        <f t="shared" si="14"/>
        <v>1.5885380778948062</v>
      </c>
    </row>
    <row r="918" spans="1:3" x14ac:dyDescent="0.15">
      <c r="A918" s="22">
        <v>42461</v>
      </c>
      <c r="B918">
        <v>3897.66</v>
      </c>
      <c r="C918">
        <f t="shared" si="14"/>
        <v>1.5986071463726745</v>
      </c>
    </row>
    <row r="919" spans="1:3" x14ac:dyDescent="0.15">
      <c r="A919" s="22">
        <v>42464</v>
      </c>
      <c r="B919">
        <v>3886</v>
      </c>
      <c r="C919">
        <f t="shared" si="14"/>
        <v>1.5938248515273814</v>
      </c>
    </row>
    <row r="920" spans="1:3" x14ac:dyDescent="0.15">
      <c r="A920" s="22">
        <v>42465</v>
      </c>
      <c r="B920">
        <v>3846.59</v>
      </c>
      <c r="C920">
        <f t="shared" si="14"/>
        <v>1.5776610230665749</v>
      </c>
    </row>
    <row r="921" spans="1:3" x14ac:dyDescent="0.15">
      <c r="A921" s="22">
        <v>42466</v>
      </c>
      <c r="B921">
        <v>3888.41</v>
      </c>
      <c r="C921">
        <f t="shared" si="14"/>
        <v>1.5948133018341701</v>
      </c>
    </row>
    <row r="922" spans="1:3" x14ac:dyDescent="0.15">
      <c r="A922" s="22">
        <v>42467</v>
      </c>
      <c r="B922">
        <v>3841.98</v>
      </c>
      <c r="C922">
        <f t="shared" si="14"/>
        <v>1.5757702529776554</v>
      </c>
    </row>
    <row r="923" spans="1:3" x14ac:dyDescent="0.15">
      <c r="A923" s="22">
        <v>42468</v>
      </c>
      <c r="B923">
        <v>3852.72</v>
      </c>
      <c r="C923">
        <f t="shared" si="14"/>
        <v>1.5801752140958756</v>
      </c>
    </row>
    <row r="924" spans="1:3" x14ac:dyDescent="0.15">
      <c r="A924" s="22">
        <v>42471</v>
      </c>
      <c r="B924">
        <v>3842.17</v>
      </c>
      <c r="C924">
        <f t="shared" si="14"/>
        <v>1.5758481805952032</v>
      </c>
    </row>
    <row r="925" spans="1:3" x14ac:dyDescent="0.15">
      <c r="A925" s="22">
        <v>42472</v>
      </c>
      <c r="B925">
        <v>3879.42</v>
      </c>
      <c r="C925">
        <f t="shared" si="14"/>
        <v>1.5911260950880994</v>
      </c>
    </row>
    <row r="926" spans="1:3" x14ac:dyDescent="0.15">
      <c r="A926" s="22">
        <v>42473</v>
      </c>
      <c r="B926">
        <v>3918.95</v>
      </c>
      <c r="C926">
        <f t="shared" si="14"/>
        <v>1.6073391409915674</v>
      </c>
    </row>
    <row r="927" spans="1:3" x14ac:dyDescent="0.15">
      <c r="A927" s="22">
        <v>42474</v>
      </c>
      <c r="B927">
        <v>3920.03</v>
      </c>
      <c r="C927">
        <f t="shared" si="14"/>
        <v>1.6077820979755226</v>
      </c>
    </row>
    <row r="928" spans="1:3" x14ac:dyDescent="0.15">
      <c r="A928" s="22">
        <v>42475</v>
      </c>
      <c r="B928">
        <v>3916.17</v>
      </c>
      <c r="C928">
        <f t="shared" si="14"/>
        <v>1.6061989369032386</v>
      </c>
    </row>
    <row r="929" spans="1:3" x14ac:dyDescent="0.15">
      <c r="A929" s="22">
        <v>42478</v>
      </c>
      <c r="B929">
        <v>3941.86</v>
      </c>
      <c r="C929">
        <f t="shared" si="14"/>
        <v>1.6167355710863931</v>
      </c>
    </row>
    <row r="930" spans="1:3" x14ac:dyDescent="0.15">
      <c r="A930" s="22">
        <v>42479</v>
      </c>
      <c r="B930">
        <v>3954.01</v>
      </c>
      <c r="C930">
        <f t="shared" si="14"/>
        <v>1.6217188371558882</v>
      </c>
    </row>
    <row r="931" spans="1:3" x14ac:dyDescent="0.15">
      <c r="A931" s="22">
        <v>42480</v>
      </c>
      <c r="B931">
        <v>3957.25</v>
      </c>
      <c r="C931">
        <f t="shared" si="14"/>
        <v>1.6230477081077535</v>
      </c>
    </row>
    <row r="932" spans="1:3" x14ac:dyDescent="0.15">
      <c r="A932" s="22">
        <v>42481</v>
      </c>
      <c r="B932">
        <v>3936.8</v>
      </c>
      <c r="C932">
        <f t="shared" si="14"/>
        <v>1.6146602355874924</v>
      </c>
    </row>
    <row r="933" spans="1:3" x14ac:dyDescent="0.15">
      <c r="A933" s="22">
        <v>42482</v>
      </c>
      <c r="B933">
        <v>3937</v>
      </c>
      <c r="C933">
        <f t="shared" si="14"/>
        <v>1.6147422646585952</v>
      </c>
    </row>
    <row r="934" spans="1:3" x14ac:dyDescent="0.15">
      <c r="A934" s="22">
        <v>42485</v>
      </c>
      <c r="B934">
        <v>3929.88</v>
      </c>
      <c r="C934">
        <f t="shared" si="14"/>
        <v>1.6118220297273356</v>
      </c>
    </row>
    <row r="935" spans="1:3" x14ac:dyDescent="0.15">
      <c r="A935" s="22">
        <v>42486</v>
      </c>
      <c r="B935">
        <v>3937.23</v>
      </c>
      <c r="C935">
        <f t="shared" si="14"/>
        <v>1.6148365980903634</v>
      </c>
    </row>
    <row r="936" spans="1:3" x14ac:dyDescent="0.15">
      <c r="A936" s="22">
        <v>42487</v>
      </c>
      <c r="B936">
        <v>3944.02</v>
      </c>
      <c r="C936">
        <f t="shared" si="14"/>
        <v>1.6176214850543034</v>
      </c>
    </row>
    <row r="937" spans="1:3" x14ac:dyDescent="0.15">
      <c r="A937" s="22">
        <v>42488</v>
      </c>
      <c r="B937">
        <v>3907.88</v>
      </c>
      <c r="C937">
        <f t="shared" si="14"/>
        <v>1.6027988319060276</v>
      </c>
    </row>
    <row r="938" spans="1:3" x14ac:dyDescent="0.15">
      <c r="A938" s="22">
        <v>42489</v>
      </c>
      <c r="B938">
        <v>3888.13</v>
      </c>
      <c r="C938">
        <f t="shared" si="14"/>
        <v>1.5946984611346262</v>
      </c>
    </row>
    <row r="939" spans="1:3" x14ac:dyDescent="0.15">
      <c r="A939" s="22">
        <v>42492</v>
      </c>
      <c r="B939">
        <v>3918.53</v>
      </c>
      <c r="C939">
        <f t="shared" si="14"/>
        <v>1.6071668799422516</v>
      </c>
    </row>
    <row r="940" spans="1:3" x14ac:dyDescent="0.15">
      <c r="A940" s="22">
        <v>42493</v>
      </c>
      <c r="B940">
        <v>3884.63</v>
      </c>
      <c r="C940">
        <f t="shared" si="14"/>
        <v>1.5932629523903272</v>
      </c>
    </row>
    <row r="941" spans="1:3" x14ac:dyDescent="0.15">
      <c r="A941" s="22">
        <v>42494</v>
      </c>
      <c r="B941">
        <v>3862.4</v>
      </c>
      <c r="C941">
        <f t="shared" si="14"/>
        <v>1.5841454211372512</v>
      </c>
    </row>
    <row r="942" spans="1:3" x14ac:dyDescent="0.15">
      <c r="A942" s="22">
        <v>42495</v>
      </c>
      <c r="B942">
        <v>3862.4</v>
      </c>
      <c r="C942">
        <f t="shared" si="14"/>
        <v>1.5841454211372512</v>
      </c>
    </row>
    <row r="943" spans="1:3" x14ac:dyDescent="0.15">
      <c r="A943" s="22">
        <v>42496</v>
      </c>
      <c r="B943">
        <v>3875.18</v>
      </c>
      <c r="C943">
        <f t="shared" si="14"/>
        <v>1.5893870787807198</v>
      </c>
    </row>
    <row r="944" spans="1:3" x14ac:dyDescent="0.15">
      <c r="A944" s="22">
        <v>42499</v>
      </c>
      <c r="B944">
        <v>3878.14</v>
      </c>
      <c r="C944">
        <f t="shared" si="14"/>
        <v>1.5906011090330414</v>
      </c>
    </row>
    <row r="945" spans="1:3" x14ac:dyDescent="0.15">
      <c r="A945" s="22">
        <v>42500</v>
      </c>
      <c r="B945">
        <v>3926.63</v>
      </c>
      <c r="C945">
        <f t="shared" si="14"/>
        <v>1.6104890573219151</v>
      </c>
    </row>
    <row r="946" spans="1:3" x14ac:dyDescent="0.15">
      <c r="A946" s="22">
        <v>42501</v>
      </c>
      <c r="B946">
        <v>3891.13</v>
      </c>
      <c r="C946">
        <f t="shared" si="14"/>
        <v>1.5959288972011683</v>
      </c>
    </row>
    <row r="947" spans="1:3" x14ac:dyDescent="0.15">
      <c r="A947" s="22">
        <v>42502</v>
      </c>
      <c r="B947">
        <v>3890.85</v>
      </c>
      <c r="C947">
        <f t="shared" si="14"/>
        <v>1.5958140565016243</v>
      </c>
    </row>
    <row r="948" spans="1:3" x14ac:dyDescent="0.15">
      <c r="A948" s="22">
        <v>42503</v>
      </c>
      <c r="B948">
        <v>3858.17</v>
      </c>
      <c r="C948">
        <f t="shared" si="14"/>
        <v>1.5824105062834271</v>
      </c>
    </row>
    <row r="949" spans="1:3" x14ac:dyDescent="0.15">
      <c r="A949" s="22">
        <v>42506</v>
      </c>
      <c r="B949">
        <v>3896.36</v>
      </c>
      <c r="C949">
        <f t="shared" si="14"/>
        <v>1.5980739574105065</v>
      </c>
    </row>
    <row r="950" spans="1:3" x14ac:dyDescent="0.15">
      <c r="A950" s="22">
        <v>42507</v>
      </c>
      <c r="B950">
        <v>3860.88</v>
      </c>
      <c r="C950">
        <f t="shared" si="14"/>
        <v>1.5835220001968699</v>
      </c>
    </row>
    <row r="951" spans="1:3" x14ac:dyDescent="0.15">
      <c r="A951" s="22">
        <v>42508</v>
      </c>
      <c r="B951">
        <v>3862.25</v>
      </c>
      <c r="C951">
        <f t="shared" si="14"/>
        <v>1.5840838993339241</v>
      </c>
    </row>
    <row r="952" spans="1:3" x14ac:dyDescent="0.15">
      <c r="A952" s="22">
        <v>42509</v>
      </c>
      <c r="B952">
        <v>3847.97</v>
      </c>
      <c r="C952">
        <f t="shared" si="14"/>
        <v>1.578227023657184</v>
      </c>
    </row>
    <row r="953" spans="1:3" x14ac:dyDescent="0.15">
      <c r="A953" s="22">
        <v>42510</v>
      </c>
      <c r="B953">
        <v>3871.75</v>
      </c>
      <c r="C953">
        <f t="shared" si="14"/>
        <v>1.587980280211307</v>
      </c>
    </row>
    <row r="954" spans="1:3" x14ac:dyDescent="0.15">
      <c r="A954" s="22">
        <v>42513</v>
      </c>
      <c r="B954">
        <v>3863.82</v>
      </c>
      <c r="C954">
        <f t="shared" si="14"/>
        <v>1.5847278275420811</v>
      </c>
    </row>
    <row r="955" spans="1:3" x14ac:dyDescent="0.15">
      <c r="A955" s="22">
        <v>42514</v>
      </c>
      <c r="B955">
        <v>3916.77</v>
      </c>
      <c r="C955">
        <f t="shared" si="14"/>
        <v>1.6064450241165469</v>
      </c>
    </row>
    <row r="956" spans="1:3" x14ac:dyDescent="0.15">
      <c r="A956" s="22">
        <v>42515</v>
      </c>
      <c r="B956">
        <v>3944.33</v>
      </c>
      <c r="C956">
        <f t="shared" si="14"/>
        <v>1.6177486301145128</v>
      </c>
    </row>
    <row r="957" spans="1:3" x14ac:dyDescent="0.15">
      <c r="A957" s="22">
        <v>42516</v>
      </c>
      <c r="B957">
        <v>3944.05</v>
      </c>
      <c r="C957">
        <f t="shared" si="14"/>
        <v>1.6176337894149688</v>
      </c>
    </row>
    <row r="958" spans="1:3" x14ac:dyDescent="0.15">
      <c r="A958" s="22">
        <v>42517</v>
      </c>
      <c r="B958">
        <v>3961.67</v>
      </c>
      <c r="C958">
        <f t="shared" si="14"/>
        <v>1.6248605505791254</v>
      </c>
    </row>
    <row r="959" spans="1:3" x14ac:dyDescent="0.15">
      <c r="A959" s="22">
        <v>42521</v>
      </c>
      <c r="B959">
        <v>3957.95</v>
      </c>
      <c r="C959">
        <f t="shared" si="14"/>
        <v>1.6233348098566132</v>
      </c>
    </row>
    <row r="960" spans="1:3" x14ac:dyDescent="0.15">
      <c r="A960" s="22">
        <v>42522</v>
      </c>
      <c r="B960">
        <v>3963.1</v>
      </c>
      <c r="C960">
        <f t="shared" si="14"/>
        <v>1.6254470584375103</v>
      </c>
    </row>
    <row r="961" spans="1:3" x14ac:dyDescent="0.15">
      <c r="A961" s="22">
        <v>42523</v>
      </c>
      <c r="B961">
        <v>3974.76</v>
      </c>
      <c r="C961">
        <f t="shared" si="14"/>
        <v>1.6302293532828036</v>
      </c>
    </row>
    <row r="962" spans="1:3" x14ac:dyDescent="0.15">
      <c r="A962" s="22">
        <v>42524</v>
      </c>
      <c r="B962">
        <v>3963.23</v>
      </c>
      <c r="C962">
        <f t="shared" ref="C962:C1025" si="15">(B962 / $B$2)</f>
        <v>1.6255003773337271</v>
      </c>
    </row>
    <row r="963" spans="1:3" x14ac:dyDescent="0.15">
      <c r="A963" s="22">
        <v>42527</v>
      </c>
      <c r="B963">
        <v>3982.74</v>
      </c>
      <c r="C963">
        <f t="shared" si="15"/>
        <v>1.6335023132198052</v>
      </c>
    </row>
    <row r="964" spans="1:3" x14ac:dyDescent="0.15">
      <c r="A964" s="22">
        <v>42528</v>
      </c>
      <c r="B964">
        <v>3987.96</v>
      </c>
      <c r="C964">
        <f t="shared" si="15"/>
        <v>1.6356432719755882</v>
      </c>
    </row>
    <row r="965" spans="1:3" x14ac:dyDescent="0.15">
      <c r="A965" s="22">
        <v>42529</v>
      </c>
      <c r="B965">
        <v>4001.98</v>
      </c>
      <c r="C965">
        <f t="shared" si="15"/>
        <v>1.6413935098598944</v>
      </c>
    </row>
    <row r="966" spans="1:3" x14ac:dyDescent="0.15">
      <c r="A966" s="22">
        <v>42530</v>
      </c>
      <c r="B966">
        <v>3995.28</v>
      </c>
      <c r="C966">
        <f t="shared" si="15"/>
        <v>1.6386455359779508</v>
      </c>
    </row>
    <row r="967" spans="1:3" x14ac:dyDescent="0.15">
      <c r="A967" s="22">
        <v>42531</v>
      </c>
      <c r="B967">
        <v>3958.68</v>
      </c>
      <c r="C967">
        <f t="shared" si="15"/>
        <v>1.6236342159661383</v>
      </c>
    </row>
    <row r="968" spans="1:3" x14ac:dyDescent="0.15">
      <c r="A968" s="22">
        <v>42534</v>
      </c>
      <c r="B968">
        <v>3927.73</v>
      </c>
      <c r="C968">
        <f t="shared" si="15"/>
        <v>1.6109402172129803</v>
      </c>
    </row>
    <row r="969" spans="1:3" x14ac:dyDescent="0.15">
      <c r="A969" s="22">
        <v>42535</v>
      </c>
      <c r="B969">
        <v>3920.93</v>
      </c>
      <c r="C969">
        <f t="shared" si="15"/>
        <v>1.6081512287954851</v>
      </c>
    </row>
    <row r="970" spans="1:3" x14ac:dyDescent="0.15">
      <c r="A970" s="22">
        <v>42536</v>
      </c>
      <c r="B970">
        <v>3914.02</v>
      </c>
      <c r="C970">
        <f t="shared" si="15"/>
        <v>1.6053171243888835</v>
      </c>
    </row>
    <row r="971" spans="1:3" x14ac:dyDescent="0.15">
      <c r="A971" s="22">
        <v>42537</v>
      </c>
      <c r="B971">
        <v>3926.93</v>
      </c>
      <c r="C971">
        <f t="shared" si="15"/>
        <v>1.6106121009285692</v>
      </c>
    </row>
    <row r="972" spans="1:3" x14ac:dyDescent="0.15">
      <c r="A972" s="22">
        <v>42538</v>
      </c>
      <c r="B972">
        <v>3914.15</v>
      </c>
      <c r="C972">
        <f t="shared" si="15"/>
        <v>1.6053704432851004</v>
      </c>
    </row>
    <row r="973" spans="1:3" x14ac:dyDescent="0.15">
      <c r="A973" s="22">
        <v>42541</v>
      </c>
      <c r="B973">
        <v>3936.91</v>
      </c>
      <c r="C973">
        <f t="shared" si="15"/>
        <v>1.6147053515765988</v>
      </c>
    </row>
    <row r="974" spans="1:3" x14ac:dyDescent="0.15">
      <c r="A974" s="22">
        <v>42542</v>
      </c>
      <c r="B974">
        <v>3947.94</v>
      </c>
      <c r="C974">
        <f t="shared" si="15"/>
        <v>1.6192292548479181</v>
      </c>
    </row>
    <row r="975" spans="1:3" x14ac:dyDescent="0.15">
      <c r="A975" s="22">
        <v>42543</v>
      </c>
      <c r="B975">
        <v>3941.45</v>
      </c>
      <c r="C975">
        <f t="shared" si="15"/>
        <v>1.6165674114906323</v>
      </c>
    </row>
    <row r="976" spans="1:3" x14ac:dyDescent="0.15">
      <c r="A976" s="22">
        <v>42544</v>
      </c>
      <c r="B976">
        <v>3994.18</v>
      </c>
      <c r="C976">
        <f t="shared" si="15"/>
        <v>1.6381943760868851</v>
      </c>
    </row>
    <row r="977" spans="1:3" x14ac:dyDescent="0.15">
      <c r="A977" s="22">
        <v>42545</v>
      </c>
      <c r="B977">
        <v>3850.7</v>
      </c>
      <c r="C977">
        <f t="shared" si="15"/>
        <v>1.5793467204777374</v>
      </c>
    </row>
    <row r="978" spans="1:3" x14ac:dyDescent="0.15">
      <c r="A978" s="22">
        <v>42548</v>
      </c>
      <c r="B978">
        <v>3781.02</v>
      </c>
      <c r="C978">
        <f t="shared" si="15"/>
        <v>1.5507677921055223</v>
      </c>
    </row>
    <row r="979" spans="1:3" x14ac:dyDescent="0.15">
      <c r="A979" s="22">
        <v>42549</v>
      </c>
      <c r="B979">
        <v>3849.05</v>
      </c>
      <c r="C979">
        <f t="shared" si="15"/>
        <v>1.5786699806411393</v>
      </c>
    </row>
    <row r="980" spans="1:3" x14ac:dyDescent="0.15">
      <c r="A980" s="22">
        <v>42550</v>
      </c>
      <c r="B980">
        <v>3915.1</v>
      </c>
      <c r="C980">
        <f t="shared" si="15"/>
        <v>1.6057600813728385</v>
      </c>
    </row>
    <row r="981" spans="1:3" x14ac:dyDescent="0.15">
      <c r="A981" s="22">
        <v>42551</v>
      </c>
      <c r="B981">
        <v>3968.21</v>
      </c>
      <c r="C981">
        <f t="shared" si="15"/>
        <v>1.6275429012041869</v>
      </c>
    </row>
    <row r="982" spans="1:3" x14ac:dyDescent="0.15">
      <c r="A982" s="22">
        <v>42552</v>
      </c>
      <c r="B982">
        <v>3976.68</v>
      </c>
      <c r="C982">
        <f t="shared" si="15"/>
        <v>1.6310168323653904</v>
      </c>
    </row>
    <row r="983" spans="1:3" x14ac:dyDescent="0.15">
      <c r="A983" s="22">
        <v>42556</v>
      </c>
      <c r="B983">
        <v>3949.72</v>
      </c>
      <c r="C983">
        <f t="shared" si="15"/>
        <v>1.6199593135807331</v>
      </c>
    </row>
    <row r="984" spans="1:3" x14ac:dyDescent="0.15">
      <c r="A984" s="22">
        <v>42557</v>
      </c>
      <c r="B984">
        <v>3972.26</v>
      </c>
      <c r="C984">
        <f t="shared" si="15"/>
        <v>1.6292039898940187</v>
      </c>
    </row>
    <row r="985" spans="1:3" x14ac:dyDescent="0.15">
      <c r="A985" s="22">
        <v>42558</v>
      </c>
      <c r="B985">
        <v>3969.19</v>
      </c>
      <c r="C985">
        <f t="shared" si="15"/>
        <v>1.6279448436525905</v>
      </c>
    </row>
    <row r="986" spans="1:3" x14ac:dyDescent="0.15">
      <c r="A986" s="22">
        <v>42559</v>
      </c>
      <c r="B986">
        <v>4029.75</v>
      </c>
      <c r="C986">
        <f t="shared" si="15"/>
        <v>1.6527832463825181</v>
      </c>
    </row>
    <row r="987" spans="1:3" x14ac:dyDescent="0.15">
      <c r="A987" s="22">
        <v>42562</v>
      </c>
      <c r="B987">
        <v>4043.49</v>
      </c>
      <c r="C987">
        <f t="shared" si="15"/>
        <v>1.6584186435672803</v>
      </c>
    </row>
    <row r="988" spans="1:3" x14ac:dyDescent="0.15">
      <c r="A988" s="22">
        <v>42563</v>
      </c>
      <c r="B988">
        <v>4071.85</v>
      </c>
      <c r="C988">
        <f t="shared" si="15"/>
        <v>1.6700503658496573</v>
      </c>
    </row>
    <row r="989" spans="1:3" x14ac:dyDescent="0.15">
      <c r="A989" s="22">
        <v>42564</v>
      </c>
      <c r="B989">
        <v>4072.77</v>
      </c>
      <c r="C989">
        <f t="shared" si="15"/>
        <v>1.67042769957673</v>
      </c>
    </row>
    <row r="990" spans="1:3" x14ac:dyDescent="0.15">
      <c r="A990" s="22">
        <v>42565</v>
      </c>
      <c r="B990">
        <v>4094.28</v>
      </c>
      <c r="C990">
        <f t="shared" si="15"/>
        <v>1.6792499261738363</v>
      </c>
    </row>
    <row r="991" spans="1:3" x14ac:dyDescent="0.15">
      <c r="A991" s="22">
        <v>42566</v>
      </c>
      <c r="B991">
        <v>4090.49</v>
      </c>
      <c r="C991">
        <f t="shared" si="15"/>
        <v>1.6776954752764379</v>
      </c>
    </row>
    <row r="992" spans="1:3" x14ac:dyDescent="0.15">
      <c r="A992" s="22">
        <v>42569</v>
      </c>
      <c r="B992">
        <v>4100.3999999999996</v>
      </c>
      <c r="C992">
        <f t="shared" si="15"/>
        <v>1.6817600157495816</v>
      </c>
    </row>
    <row r="993" spans="1:3" x14ac:dyDescent="0.15">
      <c r="A993" s="22">
        <v>42570</v>
      </c>
      <c r="B993">
        <v>4094.61</v>
      </c>
      <c r="C993">
        <f t="shared" si="15"/>
        <v>1.6793852741411557</v>
      </c>
    </row>
    <row r="994" spans="1:3" x14ac:dyDescent="0.15">
      <c r="A994" s="22">
        <v>42571</v>
      </c>
      <c r="B994">
        <v>4112.6099999999997</v>
      </c>
      <c r="C994">
        <f t="shared" si="15"/>
        <v>1.6867678905404075</v>
      </c>
    </row>
    <row r="995" spans="1:3" x14ac:dyDescent="0.15">
      <c r="A995" s="22">
        <v>42572</v>
      </c>
      <c r="B995">
        <v>4097.82</v>
      </c>
      <c r="C995">
        <f t="shared" si="15"/>
        <v>1.6807018407323555</v>
      </c>
    </row>
    <row r="996" spans="1:3" x14ac:dyDescent="0.15">
      <c r="A996" s="22">
        <v>42573</v>
      </c>
      <c r="B996">
        <v>4116.5</v>
      </c>
      <c r="C996">
        <f t="shared" si="15"/>
        <v>1.6883633559733571</v>
      </c>
    </row>
    <row r="997" spans="1:3" x14ac:dyDescent="0.15">
      <c r="A997" s="22">
        <v>42576</v>
      </c>
      <c r="B997">
        <v>4104.13</v>
      </c>
      <c r="C997">
        <f t="shared" si="15"/>
        <v>1.683289857925649</v>
      </c>
    </row>
    <row r="998" spans="1:3" x14ac:dyDescent="0.15">
      <c r="A998" s="22">
        <v>42577</v>
      </c>
      <c r="B998">
        <v>4105.57</v>
      </c>
      <c r="C998">
        <f t="shared" si="15"/>
        <v>1.6838804672375889</v>
      </c>
    </row>
    <row r="999" spans="1:3" x14ac:dyDescent="0.15">
      <c r="A999" s="22">
        <v>42578</v>
      </c>
      <c r="B999">
        <v>4100.8100000000004</v>
      </c>
      <c r="C999">
        <f t="shared" si="15"/>
        <v>1.6819281753453426</v>
      </c>
    </row>
    <row r="1000" spans="1:3" x14ac:dyDescent="0.15">
      <c r="A1000" s="22">
        <v>42579</v>
      </c>
      <c r="B1000">
        <v>4107.75</v>
      </c>
      <c r="C1000">
        <f t="shared" si="15"/>
        <v>1.6847745841126096</v>
      </c>
    </row>
    <row r="1001" spans="1:3" x14ac:dyDescent="0.15">
      <c r="A1001" s="22">
        <v>42580</v>
      </c>
      <c r="B1001">
        <v>4114.51</v>
      </c>
      <c r="C1001">
        <f t="shared" si="15"/>
        <v>1.6875471667158843</v>
      </c>
    </row>
    <row r="1002" spans="1:3" x14ac:dyDescent="0.15">
      <c r="A1002" s="22">
        <v>42583</v>
      </c>
      <c r="B1002">
        <v>4109.28</v>
      </c>
      <c r="C1002">
        <f t="shared" si="15"/>
        <v>1.6854021065065459</v>
      </c>
    </row>
    <row r="1003" spans="1:3" x14ac:dyDescent="0.15">
      <c r="A1003" s="22">
        <v>42584</v>
      </c>
      <c r="B1003">
        <v>4083.25</v>
      </c>
      <c r="C1003">
        <f t="shared" si="15"/>
        <v>1.6747260229025167</v>
      </c>
    </row>
    <row r="1004" spans="1:3" x14ac:dyDescent="0.15">
      <c r="A1004" s="22">
        <v>42585</v>
      </c>
      <c r="B1004">
        <v>4097.3</v>
      </c>
      <c r="C1004">
        <f t="shared" si="15"/>
        <v>1.6804885651474883</v>
      </c>
    </row>
    <row r="1005" spans="1:3" x14ac:dyDescent="0.15">
      <c r="A1005" s="22">
        <v>42586</v>
      </c>
      <c r="B1005">
        <v>4099.21</v>
      </c>
      <c r="C1005">
        <f t="shared" si="15"/>
        <v>1.6812719427765201</v>
      </c>
    </row>
    <row r="1006" spans="1:3" x14ac:dyDescent="0.15">
      <c r="A1006" s="22">
        <v>42587</v>
      </c>
      <c r="B1006">
        <v>4134.5600000000004</v>
      </c>
      <c r="C1006">
        <f t="shared" si="15"/>
        <v>1.6957705810939399</v>
      </c>
    </row>
    <row r="1007" spans="1:3" x14ac:dyDescent="0.15">
      <c r="A1007" s="22">
        <v>42590</v>
      </c>
      <c r="B1007">
        <v>4131.1899999999996</v>
      </c>
      <c r="C1007">
        <f t="shared" si="15"/>
        <v>1.6943883912458575</v>
      </c>
    </row>
    <row r="1008" spans="1:3" x14ac:dyDescent="0.15">
      <c r="A1008" s="22">
        <v>42591</v>
      </c>
      <c r="B1008">
        <v>4132.96</v>
      </c>
      <c r="C1008">
        <f t="shared" si="15"/>
        <v>1.6951143485251174</v>
      </c>
    </row>
    <row r="1009" spans="1:3" x14ac:dyDescent="0.15">
      <c r="A1009" s="22">
        <v>42592</v>
      </c>
      <c r="B1009">
        <v>4122.6499999999996</v>
      </c>
      <c r="C1009">
        <f t="shared" si="15"/>
        <v>1.690885749909768</v>
      </c>
    </row>
    <row r="1010" spans="1:3" x14ac:dyDescent="0.15">
      <c r="A1010" s="22">
        <v>42593</v>
      </c>
      <c r="B1010">
        <v>4142.72</v>
      </c>
      <c r="C1010">
        <f t="shared" si="15"/>
        <v>1.699117367194934</v>
      </c>
    </row>
    <row r="1011" spans="1:3" x14ac:dyDescent="0.15">
      <c r="A1011" s="22">
        <v>42594</v>
      </c>
      <c r="B1011">
        <v>4139.63</v>
      </c>
      <c r="C1011">
        <f t="shared" si="15"/>
        <v>1.6978500180463958</v>
      </c>
    </row>
    <row r="1012" spans="1:3" x14ac:dyDescent="0.15">
      <c r="A1012" s="22">
        <v>42597</v>
      </c>
      <c r="B1012">
        <v>4151.6899999999996</v>
      </c>
      <c r="C1012">
        <f t="shared" si="15"/>
        <v>1.7027963710338943</v>
      </c>
    </row>
    <row r="1013" spans="1:3" x14ac:dyDescent="0.15">
      <c r="A1013" s="22">
        <v>42598</v>
      </c>
      <c r="B1013">
        <v>4129.68</v>
      </c>
      <c r="C1013">
        <f t="shared" si="15"/>
        <v>1.6937690717590317</v>
      </c>
    </row>
    <row r="1014" spans="1:3" x14ac:dyDescent="0.15">
      <c r="A1014" s="22">
        <v>42599</v>
      </c>
      <c r="B1014">
        <v>4138.42</v>
      </c>
      <c r="C1014">
        <f t="shared" si="15"/>
        <v>1.6973537421662239</v>
      </c>
    </row>
    <row r="1015" spans="1:3" x14ac:dyDescent="0.15">
      <c r="A1015" s="22">
        <v>42600</v>
      </c>
      <c r="B1015">
        <v>4147.6400000000003</v>
      </c>
      <c r="C1015">
        <f t="shared" si="15"/>
        <v>1.7011352823440631</v>
      </c>
    </row>
    <row r="1016" spans="1:3" x14ac:dyDescent="0.15">
      <c r="A1016" s="22">
        <v>42601</v>
      </c>
      <c r="B1016">
        <v>4142.2299999999996</v>
      </c>
      <c r="C1016">
        <f t="shared" si="15"/>
        <v>1.6989163959707319</v>
      </c>
    </row>
    <row r="1017" spans="1:3" x14ac:dyDescent="0.15">
      <c r="A1017" s="22">
        <v>42604</v>
      </c>
      <c r="B1017">
        <v>4139.97</v>
      </c>
      <c r="C1017">
        <f t="shared" si="15"/>
        <v>1.6979894674672706</v>
      </c>
    </row>
    <row r="1018" spans="1:3" x14ac:dyDescent="0.15">
      <c r="A1018" s="22">
        <v>42605</v>
      </c>
      <c r="B1018">
        <v>4148.16</v>
      </c>
      <c r="C1018">
        <f t="shared" si="15"/>
        <v>1.70134855792893</v>
      </c>
    </row>
    <row r="1019" spans="1:3" x14ac:dyDescent="0.15">
      <c r="A1019" s="22">
        <v>42606</v>
      </c>
      <c r="B1019">
        <v>4126.6499999999996</v>
      </c>
      <c r="C1019">
        <f t="shared" si="15"/>
        <v>1.692526331331824</v>
      </c>
    </row>
    <row r="1020" spans="1:3" x14ac:dyDescent="0.15">
      <c r="A1020" s="22">
        <v>42607</v>
      </c>
      <c r="B1020">
        <v>4121.09</v>
      </c>
      <c r="C1020">
        <f t="shared" si="15"/>
        <v>1.6902459231551663</v>
      </c>
    </row>
    <row r="1021" spans="1:3" x14ac:dyDescent="0.15">
      <c r="A1021" s="22">
        <v>42608</v>
      </c>
      <c r="B1021">
        <v>4114.68</v>
      </c>
      <c r="C1021">
        <f t="shared" si="15"/>
        <v>1.6876168914263217</v>
      </c>
    </row>
    <row r="1022" spans="1:3" x14ac:dyDescent="0.15">
      <c r="A1022" s="22">
        <v>42611</v>
      </c>
      <c r="B1022">
        <v>4136.75</v>
      </c>
      <c r="C1022">
        <f t="shared" si="15"/>
        <v>1.6966687994225154</v>
      </c>
    </row>
    <row r="1023" spans="1:3" x14ac:dyDescent="0.15">
      <c r="A1023" s="22">
        <v>42612</v>
      </c>
      <c r="B1023">
        <v>4129.34</v>
      </c>
      <c r="C1023">
        <f t="shared" si="15"/>
        <v>1.6936296223381568</v>
      </c>
    </row>
    <row r="1024" spans="1:3" x14ac:dyDescent="0.15">
      <c r="A1024" s="22">
        <v>42613</v>
      </c>
      <c r="B1024">
        <v>4120.29</v>
      </c>
      <c r="C1024">
        <f t="shared" si="15"/>
        <v>1.689917806870755</v>
      </c>
    </row>
    <row r="1025" spans="1:3" x14ac:dyDescent="0.15">
      <c r="A1025" s="22">
        <v>42614</v>
      </c>
      <c r="B1025">
        <v>4120.17</v>
      </c>
      <c r="C1025">
        <f t="shared" si="15"/>
        <v>1.6898685894280934</v>
      </c>
    </row>
    <row r="1026" spans="1:3" x14ac:dyDescent="0.15">
      <c r="A1026" s="22">
        <v>42615</v>
      </c>
      <c r="B1026">
        <v>4137.7</v>
      </c>
      <c r="C1026">
        <f t="shared" ref="C1026:C1089" si="16">(B1026 / $B$2)</f>
        <v>1.6970584375102538</v>
      </c>
    </row>
    <row r="1027" spans="1:3" x14ac:dyDescent="0.15">
      <c r="A1027" s="22">
        <v>42619</v>
      </c>
      <c r="B1027">
        <v>4150.1099999999997</v>
      </c>
      <c r="C1027">
        <f t="shared" si="16"/>
        <v>1.7021483413721823</v>
      </c>
    </row>
    <row r="1028" spans="1:3" x14ac:dyDescent="0.15">
      <c r="A1028" s="22">
        <v>42620</v>
      </c>
      <c r="B1028">
        <v>4150.51</v>
      </c>
      <c r="C1028">
        <f t="shared" si="16"/>
        <v>1.7023123995143881</v>
      </c>
    </row>
    <row r="1029" spans="1:3" x14ac:dyDescent="0.15">
      <c r="A1029" s="22">
        <v>42621</v>
      </c>
      <c r="B1029">
        <v>4141.46</v>
      </c>
      <c r="C1029">
        <f t="shared" si="16"/>
        <v>1.6986005840469864</v>
      </c>
    </row>
    <row r="1030" spans="1:3" x14ac:dyDescent="0.15">
      <c r="A1030" s="22">
        <v>42622</v>
      </c>
      <c r="B1030">
        <v>4039.95</v>
      </c>
      <c r="C1030">
        <f t="shared" si="16"/>
        <v>1.6569667290087606</v>
      </c>
    </row>
    <row r="1031" spans="1:3" x14ac:dyDescent="0.15">
      <c r="A1031" s="22">
        <v>42625</v>
      </c>
      <c r="B1031">
        <v>4099.47</v>
      </c>
      <c r="C1031">
        <f t="shared" si="16"/>
        <v>1.6813785805689538</v>
      </c>
    </row>
    <row r="1032" spans="1:3" x14ac:dyDescent="0.15">
      <c r="A1032" s="22">
        <v>42626</v>
      </c>
      <c r="B1032">
        <v>4039.92</v>
      </c>
      <c r="C1032">
        <f t="shared" si="16"/>
        <v>1.6569544246480954</v>
      </c>
    </row>
    <row r="1033" spans="1:3" x14ac:dyDescent="0.15">
      <c r="A1033" s="22">
        <v>42627</v>
      </c>
      <c r="B1033">
        <v>4037.83</v>
      </c>
      <c r="C1033">
        <f t="shared" si="16"/>
        <v>1.6560972208550711</v>
      </c>
    </row>
    <row r="1034" spans="1:3" x14ac:dyDescent="0.15">
      <c r="A1034" s="22">
        <v>42628</v>
      </c>
      <c r="B1034">
        <v>4079.32</v>
      </c>
      <c r="C1034">
        <f t="shared" si="16"/>
        <v>1.6731141516553467</v>
      </c>
    </row>
    <row r="1035" spans="1:3" x14ac:dyDescent="0.15">
      <c r="A1035" s="22">
        <v>42629</v>
      </c>
      <c r="B1035">
        <v>4063.97</v>
      </c>
      <c r="C1035">
        <f t="shared" si="16"/>
        <v>1.6668184204482068</v>
      </c>
    </row>
    <row r="1036" spans="1:3" x14ac:dyDescent="0.15">
      <c r="A1036" s="22">
        <v>42632</v>
      </c>
      <c r="B1036">
        <v>4063.94</v>
      </c>
      <c r="C1036">
        <f t="shared" si="16"/>
        <v>1.6668061160875416</v>
      </c>
    </row>
    <row r="1037" spans="1:3" x14ac:dyDescent="0.15">
      <c r="A1037" s="22">
        <v>42633</v>
      </c>
      <c r="B1037">
        <v>4065.2</v>
      </c>
      <c r="C1037">
        <f t="shared" si="16"/>
        <v>1.6673228992354892</v>
      </c>
    </row>
    <row r="1038" spans="1:3" x14ac:dyDescent="0.15">
      <c r="A1038" s="22">
        <v>42634</v>
      </c>
      <c r="B1038">
        <v>4109.63</v>
      </c>
      <c r="C1038">
        <f t="shared" si="16"/>
        <v>1.6855456573809759</v>
      </c>
    </row>
    <row r="1039" spans="1:3" x14ac:dyDescent="0.15">
      <c r="A1039" s="22">
        <v>42635</v>
      </c>
      <c r="B1039">
        <v>4136.41</v>
      </c>
      <c r="C1039">
        <f t="shared" si="16"/>
        <v>1.6965293500016405</v>
      </c>
    </row>
    <row r="1040" spans="1:3" x14ac:dyDescent="0.15">
      <c r="A1040" s="22">
        <v>42636</v>
      </c>
      <c r="B1040">
        <v>4112.6899999999996</v>
      </c>
      <c r="C1040">
        <f t="shared" si="16"/>
        <v>1.6868007021688485</v>
      </c>
    </row>
    <row r="1041" spans="1:3" x14ac:dyDescent="0.15">
      <c r="A1041" s="22">
        <v>42639</v>
      </c>
      <c r="B1041">
        <v>4077.71</v>
      </c>
      <c r="C1041">
        <f t="shared" si="16"/>
        <v>1.6724538176329693</v>
      </c>
    </row>
    <row r="1042" spans="1:3" x14ac:dyDescent="0.15">
      <c r="A1042" s="22">
        <v>42640</v>
      </c>
      <c r="B1042">
        <v>4104.18</v>
      </c>
      <c r="C1042">
        <f t="shared" si="16"/>
        <v>1.6833103651934247</v>
      </c>
    </row>
    <row r="1043" spans="1:3" x14ac:dyDescent="0.15">
      <c r="A1043" s="22">
        <v>42641</v>
      </c>
      <c r="B1043">
        <v>4126.83</v>
      </c>
      <c r="C1043">
        <f t="shared" si="16"/>
        <v>1.6926001574958165</v>
      </c>
    </row>
    <row r="1044" spans="1:3" x14ac:dyDescent="0.15">
      <c r="A1044" s="22">
        <v>42642</v>
      </c>
      <c r="B1044">
        <v>4088.47</v>
      </c>
      <c r="C1044">
        <f t="shared" si="16"/>
        <v>1.6768669816582997</v>
      </c>
    </row>
    <row r="1045" spans="1:3" x14ac:dyDescent="0.15">
      <c r="A1045" s="22">
        <v>42643</v>
      </c>
      <c r="B1045">
        <v>4121.0600000000004</v>
      </c>
      <c r="C1045">
        <f t="shared" si="16"/>
        <v>1.6902336187945011</v>
      </c>
    </row>
    <row r="1046" spans="1:3" x14ac:dyDescent="0.15">
      <c r="A1046" s="22">
        <v>42646</v>
      </c>
      <c r="B1046">
        <v>4108.13</v>
      </c>
      <c r="C1046">
        <f t="shared" si="16"/>
        <v>1.6849304393477049</v>
      </c>
    </row>
    <row r="1047" spans="1:3" x14ac:dyDescent="0.15">
      <c r="A1047" s="22">
        <v>42647</v>
      </c>
      <c r="B1047">
        <v>4088.17</v>
      </c>
      <c r="C1047">
        <f t="shared" si="16"/>
        <v>1.6767439380516456</v>
      </c>
    </row>
    <row r="1048" spans="1:3" x14ac:dyDescent="0.15">
      <c r="A1048" s="22">
        <v>42648</v>
      </c>
      <c r="B1048">
        <v>4107.3999999999996</v>
      </c>
      <c r="C1048">
        <f t="shared" si="16"/>
        <v>1.6846310332381795</v>
      </c>
    </row>
    <row r="1049" spans="1:3" x14ac:dyDescent="0.15">
      <c r="A1049" s="22">
        <v>42649</v>
      </c>
      <c r="B1049">
        <v>4109.49</v>
      </c>
      <c r="C1049">
        <f t="shared" si="16"/>
        <v>1.6854882370312039</v>
      </c>
    </row>
    <row r="1050" spans="1:3" x14ac:dyDescent="0.15">
      <c r="A1050" s="22">
        <v>42650</v>
      </c>
      <c r="B1050">
        <v>4096.25</v>
      </c>
      <c r="C1050">
        <f t="shared" si="16"/>
        <v>1.6800579125241988</v>
      </c>
    </row>
    <row r="1051" spans="1:3" x14ac:dyDescent="0.15">
      <c r="A1051" s="22">
        <v>42653</v>
      </c>
      <c r="B1051">
        <v>4115.12</v>
      </c>
      <c r="C1051">
        <f t="shared" si="16"/>
        <v>1.6877973553827477</v>
      </c>
    </row>
    <row r="1052" spans="1:3" x14ac:dyDescent="0.15">
      <c r="A1052" s="22">
        <v>42654</v>
      </c>
      <c r="B1052">
        <v>4063.92</v>
      </c>
      <c r="C1052">
        <f t="shared" si="16"/>
        <v>1.6667979131804314</v>
      </c>
    </row>
    <row r="1053" spans="1:3" x14ac:dyDescent="0.15">
      <c r="A1053" s="22">
        <v>42655</v>
      </c>
      <c r="B1053">
        <v>4068.92</v>
      </c>
      <c r="C1053">
        <f t="shared" si="16"/>
        <v>1.6688486399580011</v>
      </c>
    </row>
    <row r="1054" spans="1:3" x14ac:dyDescent="0.15">
      <c r="A1054" s="22">
        <v>42656</v>
      </c>
      <c r="B1054">
        <v>4056.45</v>
      </c>
      <c r="C1054">
        <f t="shared" si="16"/>
        <v>1.6637341273747417</v>
      </c>
    </row>
    <row r="1055" spans="1:3" x14ac:dyDescent="0.15">
      <c r="A1055" s="22">
        <v>42657</v>
      </c>
      <c r="B1055">
        <v>4057.28</v>
      </c>
      <c r="C1055">
        <f t="shared" si="16"/>
        <v>1.6640745480198185</v>
      </c>
    </row>
    <row r="1056" spans="1:3" x14ac:dyDescent="0.15">
      <c r="A1056" s="22">
        <v>42660</v>
      </c>
      <c r="B1056">
        <v>4045.07</v>
      </c>
      <c r="C1056">
        <f t="shared" si="16"/>
        <v>1.6590666732289925</v>
      </c>
    </row>
    <row r="1057" spans="1:3" x14ac:dyDescent="0.15">
      <c r="A1057" s="22">
        <v>42661</v>
      </c>
      <c r="B1057">
        <v>4069.99</v>
      </c>
      <c r="C1057">
        <f t="shared" si="16"/>
        <v>1.6692874954884012</v>
      </c>
    </row>
    <row r="1058" spans="1:3" x14ac:dyDescent="0.15">
      <c r="A1058" s="22">
        <v>42662</v>
      </c>
      <c r="B1058">
        <v>4079.5</v>
      </c>
      <c r="C1058">
        <f t="shared" si="16"/>
        <v>1.6731879778193393</v>
      </c>
    </row>
    <row r="1059" spans="1:3" x14ac:dyDescent="0.15">
      <c r="A1059" s="22">
        <v>42663</v>
      </c>
      <c r="B1059">
        <v>4074.18</v>
      </c>
      <c r="C1059">
        <f t="shared" si="16"/>
        <v>1.6710060045280049</v>
      </c>
    </row>
    <row r="1060" spans="1:3" x14ac:dyDescent="0.15">
      <c r="A1060" s="22">
        <v>42664</v>
      </c>
      <c r="B1060">
        <v>4073.85</v>
      </c>
      <c r="C1060">
        <f t="shared" si="16"/>
        <v>1.6708706565606852</v>
      </c>
    </row>
    <row r="1061" spans="1:3" x14ac:dyDescent="0.15">
      <c r="A1061" s="22">
        <v>42667</v>
      </c>
      <c r="B1061">
        <v>4093.22</v>
      </c>
      <c r="C1061">
        <f t="shared" si="16"/>
        <v>1.6788151720969913</v>
      </c>
    </row>
    <row r="1062" spans="1:3" x14ac:dyDescent="0.15">
      <c r="A1062" s="22">
        <v>42668</v>
      </c>
      <c r="B1062">
        <v>4077.8</v>
      </c>
      <c r="C1062">
        <f t="shared" si="16"/>
        <v>1.6724907307149655</v>
      </c>
    </row>
    <row r="1063" spans="1:3" x14ac:dyDescent="0.15">
      <c r="A1063" s="22">
        <v>42669</v>
      </c>
      <c r="B1063">
        <v>4070.76</v>
      </c>
      <c r="C1063">
        <f t="shared" si="16"/>
        <v>1.669603307412147</v>
      </c>
    </row>
    <row r="1064" spans="1:3" x14ac:dyDescent="0.15">
      <c r="A1064" s="22">
        <v>42670</v>
      </c>
      <c r="B1064">
        <v>4058.75</v>
      </c>
      <c r="C1064">
        <f t="shared" si="16"/>
        <v>1.6646774616924238</v>
      </c>
    </row>
    <row r="1065" spans="1:3" x14ac:dyDescent="0.15">
      <c r="A1065" s="22">
        <v>42671</v>
      </c>
      <c r="B1065">
        <v>4046.36</v>
      </c>
      <c r="C1065">
        <f t="shared" si="16"/>
        <v>1.6595957607376055</v>
      </c>
    </row>
    <row r="1066" spans="1:3" x14ac:dyDescent="0.15">
      <c r="A1066" s="22">
        <v>42674</v>
      </c>
      <c r="B1066">
        <v>4045.89</v>
      </c>
      <c r="C1066">
        <f t="shared" si="16"/>
        <v>1.6594029924205138</v>
      </c>
    </row>
    <row r="1067" spans="1:3" x14ac:dyDescent="0.15">
      <c r="A1067" s="22">
        <v>42675</v>
      </c>
      <c r="B1067">
        <v>4018.47</v>
      </c>
      <c r="C1067">
        <f t="shared" si="16"/>
        <v>1.6481568067723202</v>
      </c>
    </row>
    <row r="1068" spans="1:3" x14ac:dyDescent="0.15">
      <c r="A1068" s="22">
        <v>42676</v>
      </c>
      <c r="B1068">
        <v>3992.76</v>
      </c>
      <c r="C1068">
        <f t="shared" si="16"/>
        <v>1.6376119696820555</v>
      </c>
    </row>
    <row r="1069" spans="1:3" x14ac:dyDescent="0.15">
      <c r="A1069" s="22">
        <v>42677</v>
      </c>
      <c r="B1069">
        <v>3976.56</v>
      </c>
      <c r="C1069">
        <f t="shared" si="16"/>
        <v>1.6309676149227288</v>
      </c>
    </row>
    <row r="1070" spans="1:3" x14ac:dyDescent="0.15">
      <c r="A1070" s="22">
        <v>42678</v>
      </c>
      <c r="B1070">
        <v>3970.02</v>
      </c>
      <c r="C1070">
        <f t="shared" si="16"/>
        <v>1.6282852642976673</v>
      </c>
    </row>
    <row r="1071" spans="1:3" x14ac:dyDescent="0.15">
      <c r="A1071" s="22">
        <v>42681</v>
      </c>
      <c r="B1071">
        <v>4058.3</v>
      </c>
      <c r="C1071">
        <f t="shared" si="16"/>
        <v>1.6644928962824426</v>
      </c>
    </row>
    <row r="1072" spans="1:3" x14ac:dyDescent="0.15">
      <c r="A1072" s="22">
        <v>42682</v>
      </c>
      <c r="B1072">
        <v>4075.61</v>
      </c>
      <c r="C1072">
        <f t="shared" si="16"/>
        <v>1.67159251238639</v>
      </c>
    </row>
    <row r="1073" spans="1:3" x14ac:dyDescent="0.15">
      <c r="A1073" s="22">
        <v>42683</v>
      </c>
      <c r="B1073">
        <v>4121.03</v>
      </c>
      <c r="C1073">
        <f t="shared" si="16"/>
        <v>1.6902213144338354</v>
      </c>
    </row>
    <row r="1074" spans="1:3" x14ac:dyDescent="0.15">
      <c r="A1074" s="22">
        <v>42684</v>
      </c>
      <c r="B1074">
        <v>4129.46</v>
      </c>
      <c r="C1074">
        <f t="shared" si="16"/>
        <v>1.6936788397808185</v>
      </c>
    </row>
    <row r="1075" spans="1:3" x14ac:dyDescent="0.15">
      <c r="A1075" s="22">
        <v>42685</v>
      </c>
      <c r="B1075">
        <v>4123.6899999999996</v>
      </c>
      <c r="C1075">
        <f t="shared" si="16"/>
        <v>1.6913123010795026</v>
      </c>
    </row>
    <row r="1076" spans="1:3" x14ac:dyDescent="0.15">
      <c r="A1076" s="22">
        <v>42688</v>
      </c>
      <c r="B1076">
        <v>4123.8100000000004</v>
      </c>
      <c r="C1076">
        <f t="shared" si="16"/>
        <v>1.6913615185221644</v>
      </c>
    </row>
    <row r="1077" spans="1:3" x14ac:dyDescent="0.15">
      <c r="A1077" s="22">
        <v>42689</v>
      </c>
      <c r="B1077">
        <v>4155.62</v>
      </c>
      <c r="C1077">
        <f t="shared" si="16"/>
        <v>1.7044082422810645</v>
      </c>
    </row>
    <row r="1078" spans="1:3" x14ac:dyDescent="0.15">
      <c r="A1078" s="22">
        <v>42690</v>
      </c>
      <c r="B1078">
        <v>4150.21</v>
      </c>
      <c r="C1078">
        <f t="shared" si="16"/>
        <v>1.7021893559077339</v>
      </c>
    </row>
    <row r="1079" spans="1:3" x14ac:dyDescent="0.15">
      <c r="A1079" s="22">
        <v>42691</v>
      </c>
      <c r="B1079">
        <v>4169.87</v>
      </c>
      <c r="C1079">
        <f t="shared" si="16"/>
        <v>1.7102528135971389</v>
      </c>
    </row>
    <row r="1080" spans="1:3" x14ac:dyDescent="0.15">
      <c r="A1080" s="22">
        <v>42692</v>
      </c>
      <c r="B1080">
        <v>4160.58</v>
      </c>
      <c r="C1080">
        <f t="shared" si="16"/>
        <v>1.7064425632444138</v>
      </c>
    </row>
    <row r="1081" spans="1:3" x14ac:dyDescent="0.15">
      <c r="A1081" s="22">
        <v>42695</v>
      </c>
      <c r="B1081">
        <v>4191.68</v>
      </c>
      <c r="C1081">
        <f t="shared" si="16"/>
        <v>1.7191980838008993</v>
      </c>
    </row>
    <row r="1082" spans="1:3" x14ac:dyDescent="0.15">
      <c r="A1082" s="22">
        <v>42696</v>
      </c>
      <c r="B1082">
        <v>4200.95</v>
      </c>
      <c r="C1082">
        <f t="shared" si="16"/>
        <v>1.7230001312465137</v>
      </c>
    </row>
    <row r="1083" spans="1:3" x14ac:dyDescent="0.15">
      <c r="A1083" s="22">
        <v>42697</v>
      </c>
      <c r="B1083">
        <v>4204.49</v>
      </c>
      <c r="C1083">
        <f t="shared" si="16"/>
        <v>1.7244520458050334</v>
      </c>
    </row>
    <row r="1084" spans="1:3" x14ac:dyDescent="0.15">
      <c r="A1084" s="22">
        <v>42699</v>
      </c>
      <c r="B1084">
        <v>4221.0200000000004</v>
      </c>
      <c r="C1084">
        <f t="shared" si="16"/>
        <v>1.7312317485316799</v>
      </c>
    </row>
    <row r="1085" spans="1:3" x14ac:dyDescent="0.15">
      <c r="A1085" s="22">
        <v>42702</v>
      </c>
      <c r="B1085">
        <v>4199.3900000000003</v>
      </c>
      <c r="C1085">
        <f t="shared" si="16"/>
        <v>1.7223603044919122</v>
      </c>
    </row>
    <row r="1086" spans="1:3" x14ac:dyDescent="0.15">
      <c r="A1086" s="22">
        <v>42703</v>
      </c>
      <c r="B1086">
        <v>4205.99</v>
      </c>
      <c r="C1086">
        <f t="shared" si="16"/>
        <v>1.7250672638383042</v>
      </c>
    </row>
    <row r="1087" spans="1:3" x14ac:dyDescent="0.15">
      <c r="A1087" s="22">
        <v>42704</v>
      </c>
      <c r="B1087">
        <v>4195.7299999999996</v>
      </c>
      <c r="C1087">
        <f t="shared" si="16"/>
        <v>1.7208591724907307</v>
      </c>
    </row>
    <row r="1088" spans="1:3" x14ac:dyDescent="0.15">
      <c r="A1088" s="22">
        <v>42705</v>
      </c>
      <c r="B1088">
        <v>4181.1499999999996</v>
      </c>
      <c r="C1088">
        <f t="shared" si="16"/>
        <v>1.7148792532073367</v>
      </c>
    </row>
    <row r="1089" spans="1:3" x14ac:dyDescent="0.15">
      <c r="A1089" s="22">
        <v>42706</v>
      </c>
      <c r="B1089">
        <v>4182.8100000000004</v>
      </c>
      <c r="C1089">
        <f t="shared" si="16"/>
        <v>1.7155600944974903</v>
      </c>
    </row>
    <row r="1090" spans="1:3" x14ac:dyDescent="0.15">
      <c r="A1090" s="22">
        <v>42709</v>
      </c>
      <c r="B1090">
        <v>4207.57</v>
      </c>
      <c r="C1090">
        <f t="shared" ref="C1090:C1153" si="17">(B1090 / $B$2)</f>
        <v>1.7257152935000164</v>
      </c>
    </row>
    <row r="1091" spans="1:3" x14ac:dyDescent="0.15">
      <c r="A1091" s="22">
        <v>42710</v>
      </c>
      <c r="B1091">
        <v>4222.04</v>
      </c>
      <c r="C1091">
        <f t="shared" si="17"/>
        <v>1.731650096794304</v>
      </c>
    </row>
    <row r="1092" spans="1:3" x14ac:dyDescent="0.15">
      <c r="A1092" s="22">
        <v>42711</v>
      </c>
      <c r="B1092">
        <v>4278.4399999999996</v>
      </c>
      <c r="C1092">
        <f t="shared" si="17"/>
        <v>1.7547822948452931</v>
      </c>
    </row>
    <row r="1093" spans="1:3" x14ac:dyDescent="0.15">
      <c r="A1093" s="22">
        <v>42712</v>
      </c>
      <c r="B1093">
        <v>4288.1000000000004</v>
      </c>
      <c r="C1093">
        <f t="shared" si="17"/>
        <v>1.7587442989795585</v>
      </c>
    </row>
    <row r="1094" spans="1:3" x14ac:dyDescent="0.15">
      <c r="A1094" s="22">
        <v>42713</v>
      </c>
      <c r="B1094">
        <v>4313.6099999999997</v>
      </c>
      <c r="C1094">
        <f t="shared" si="17"/>
        <v>1.7692071069987203</v>
      </c>
    </row>
    <row r="1095" spans="1:3" x14ac:dyDescent="0.15">
      <c r="A1095" s="22">
        <v>42716</v>
      </c>
      <c r="B1095">
        <v>4308.9399999999996</v>
      </c>
      <c r="C1095">
        <f t="shared" si="17"/>
        <v>1.7672917281884699</v>
      </c>
    </row>
    <row r="1096" spans="1:3" x14ac:dyDescent="0.15">
      <c r="A1096" s="22">
        <v>42717</v>
      </c>
      <c r="B1096">
        <v>4337.8599999999997</v>
      </c>
      <c r="C1096">
        <f t="shared" si="17"/>
        <v>1.7791531318699347</v>
      </c>
    </row>
    <row r="1097" spans="1:3" x14ac:dyDescent="0.15">
      <c r="A1097" s="22">
        <v>42718</v>
      </c>
      <c r="B1097">
        <v>4302.93</v>
      </c>
      <c r="C1097">
        <f t="shared" si="17"/>
        <v>1.764826754601831</v>
      </c>
    </row>
    <row r="1098" spans="1:3" x14ac:dyDescent="0.15">
      <c r="A1098" s="22">
        <v>42719</v>
      </c>
      <c r="B1098">
        <v>4319.84</v>
      </c>
      <c r="C1098">
        <f t="shared" si="17"/>
        <v>1.7717623125635726</v>
      </c>
    </row>
    <row r="1099" spans="1:3" x14ac:dyDescent="0.15">
      <c r="A1099" s="22">
        <v>42720</v>
      </c>
      <c r="B1099">
        <v>4312.3999999999996</v>
      </c>
      <c r="C1099">
        <f t="shared" si="17"/>
        <v>1.7687108311185484</v>
      </c>
    </row>
    <row r="1100" spans="1:3" x14ac:dyDescent="0.15">
      <c r="A1100" s="22">
        <v>42723</v>
      </c>
      <c r="B1100">
        <v>4321.0200000000004</v>
      </c>
      <c r="C1100">
        <f t="shared" si="17"/>
        <v>1.7722462840830793</v>
      </c>
    </row>
    <row r="1101" spans="1:3" x14ac:dyDescent="0.15">
      <c r="A1101" s="22">
        <v>42724</v>
      </c>
      <c r="B1101">
        <v>4337.3599999999997</v>
      </c>
      <c r="C1101">
        <f t="shared" si="17"/>
        <v>1.7789480591921776</v>
      </c>
    </row>
    <row r="1102" spans="1:3" x14ac:dyDescent="0.15">
      <c r="A1102" s="22">
        <v>42725</v>
      </c>
      <c r="B1102">
        <v>4326.8500000000004</v>
      </c>
      <c r="C1102">
        <f t="shared" si="17"/>
        <v>1.7746374315057258</v>
      </c>
    </row>
    <row r="1103" spans="1:3" x14ac:dyDescent="0.15">
      <c r="A1103" s="22">
        <v>42726</v>
      </c>
      <c r="B1103">
        <v>4319.33</v>
      </c>
      <c r="C1103">
        <f t="shared" si="17"/>
        <v>1.7715531384322605</v>
      </c>
    </row>
    <row r="1104" spans="1:3" x14ac:dyDescent="0.15">
      <c r="A1104" s="22">
        <v>42727</v>
      </c>
      <c r="B1104">
        <v>4325.17</v>
      </c>
      <c r="C1104">
        <f t="shared" si="17"/>
        <v>1.7739483873084623</v>
      </c>
    </row>
    <row r="1105" spans="1:3" x14ac:dyDescent="0.15">
      <c r="A1105" s="22">
        <v>42731</v>
      </c>
      <c r="B1105">
        <v>4334.93</v>
      </c>
      <c r="C1105">
        <f t="shared" si="17"/>
        <v>1.7779514059782788</v>
      </c>
    </row>
    <row r="1106" spans="1:3" x14ac:dyDescent="0.15">
      <c r="A1106" s="22">
        <v>42732</v>
      </c>
      <c r="B1106">
        <v>4299.45</v>
      </c>
      <c r="C1106">
        <f t="shared" si="17"/>
        <v>1.7633994487646423</v>
      </c>
    </row>
    <row r="1107" spans="1:3" x14ac:dyDescent="0.15">
      <c r="A1107" s="22">
        <v>42733</v>
      </c>
      <c r="B1107">
        <v>4298.3900000000003</v>
      </c>
      <c r="C1107">
        <f t="shared" si="17"/>
        <v>1.7629646946877975</v>
      </c>
    </row>
    <row r="1108" spans="1:3" x14ac:dyDescent="0.15">
      <c r="A1108" s="22">
        <v>42734</v>
      </c>
      <c r="B1108">
        <v>4278.66</v>
      </c>
      <c r="C1108">
        <f t="shared" si="17"/>
        <v>1.7548725268235064</v>
      </c>
    </row>
    <row r="1109" spans="1:3" x14ac:dyDescent="0.15">
      <c r="A1109" s="22">
        <v>42738</v>
      </c>
      <c r="B1109">
        <v>4315.08</v>
      </c>
      <c r="C1109">
        <f t="shared" si="17"/>
        <v>1.7698100206713261</v>
      </c>
    </row>
    <row r="1110" spans="1:3" x14ac:dyDescent="0.15">
      <c r="A1110" s="22">
        <v>42739</v>
      </c>
      <c r="B1110">
        <v>4340.75</v>
      </c>
      <c r="C1110">
        <f t="shared" si="17"/>
        <v>1.7803384519473702</v>
      </c>
    </row>
    <row r="1111" spans="1:3" x14ac:dyDescent="0.15">
      <c r="A1111" s="22">
        <v>42740</v>
      </c>
      <c r="B1111">
        <v>4337.45</v>
      </c>
      <c r="C1111">
        <f t="shared" si="17"/>
        <v>1.778984972274174</v>
      </c>
    </row>
    <row r="1112" spans="1:3" x14ac:dyDescent="0.15">
      <c r="A1112" s="22">
        <v>42741</v>
      </c>
      <c r="B1112">
        <v>4354.05</v>
      </c>
      <c r="C1112">
        <f t="shared" si="17"/>
        <v>1.7857933851757064</v>
      </c>
    </row>
    <row r="1113" spans="1:3" x14ac:dyDescent="0.15">
      <c r="A1113" s="22">
        <v>42744</v>
      </c>
      <c r="B1113">
        <v>4338.62</v>
      </c>
      <c r="C1113">
        <f t="shared" si="17"/>
        <v>1.7794648423401254</v>
      </c>
    </row>
    <row r="1114" spans="1:3" x14ac:dyDescent="0.15">
      <c r="A1114" s="22">
        <v>42745</v>
      </c>
      <c r="B1114">
        <v>4338.6400000000003</v>
      </c>
      <c r="C1114">
        <f t="shared" si="17"/>
        <v>1.7794730452472358</v>
      </c>
    </row>
    <row r="1115" spans="1:3" x14ac:dyDescent="0.15">
      <c r="A1115" s="22">
        <v>42746</v>
      </c>
      <c r="B1115">
        <v>4351.32</v>
      </c>
      <c r="C1115">
        <f t="shared" si="17"/>
        <v>1.7846736883551531</v>
      </c>
    </row>
    <row r="1116" spans="1:3" x14ac:dyDescent="0.15">
      <c r="A1116" s="22">
        <v>42747</v>
      </c>
      <c r="B1116">
        <v>4342.09</v>
      </c>
      <c r="C1116">
        <f t="shared" si="17"/>
        <v>1.7808880467237591</v>
      </c>
    </row>
    <row r="1117" spans="1:3" x14ac:dyDescent="0.15">
      <c r="A1117" s="22">
        <v>42748</v>
      </c>
      <c r="B1117">
        <v>4350.1099999999997</v>
      </c>
      <c r="C1117">
        <f t="shared" si="17"/>
        <v>1.7841774124749812</v>
      </c>
    </row>
    <row r="1118" spans="1:3" x14ac:dyDescent="0.15">
      <c r="A1118" s="22">
        <v>42752</v>
      </c>
      <c r="B1118">
        <v>4337.2</v>
      </c>
      <c r="C1118">
        <f t="shared" si="17"/>
        <v>1.7788824359352955</v>
      </c>
    </row>
    <row r="1119" spans="1:3" x14ac:dyDescent="0.15">
      <c r="A1119" s="22">
        <v>42753</v>
      </c>
      <c r="B1119">
        <v>4345.57</v>
      </c>
      <c r="C1119">
        <f t="shared" si="17"/>
        <v>1.7823153525609476</v>
      </c>
    </row>
    <row r="1120" spans="1:3" x14ac:dyDescent="0.15">
      <c r="A1120" s="22">
        <v>42754</v>
      </c>
      <c r="B1120">
        <v>4329.96</v>
      </c>
      <c r="C1120">
        <f t="shared" si="17"/>
        <v>1.7759129835613743</v>
      </c>
    </row>
    <row r="1121" spans="1:3" x14ac:dyDescent="0.15">
      <c r="A1121" s="22">
        <v>42755</v>
      </c>
      <c r="B1121">
        <v>4344.67</v>
      </c>
      <c r="C1121">
        <f t="shared" si="17"/>
        <v>1.7819462217409852</v>
      </c>
    </row>
    <row r="1122" spans="1:3" x14ac:dyDescent="0.15">
      <c r="A1122" s="22">
        <v>42758</v>
      </c>
      <c r="B1122">
        <v>4333.1000000000004</v>
      </c>
      <c r="C1122">
        <f t="shared" si="17"/>
        <v>1.7772008399776884</v>
      </c>
    </row>
    <row r="1123" spans="1:3" x14ac:dyDescent="0.15">
      <c r="A1123" s="22">
        <v>42759</v>
      </c>
      <c r="B1123">
        <v>4361.5600000000004</v>
      </c>
      <c r="C1123">
        <f t="shared" si="17"/>
        <v>1.7888735767956165</v>
      </c>
    </row>
    <row r="1124" spans="1:3" x14ac:dyDescent="0.15">
      <c r="A1124" s="22">
        <v>42760</v>
      </c>
      <c r="B1124">
        <v>4396.57</v>
      </c>
      <c r="C1124">
        <f t="shared" si="17"/>
        <v>1.8032327656921614</v>
      </c>
    </row>
    <row r="1125" spans="1:3" x14ac:dyDescent="0.15">
      <c r="A1125" s="22">
        <v>42761</v>
      </c>
      <c r="B1125">
        <v>4393.43</v>
      </c>
      <c r="C1125">
        <f t="shared" si="17"/>
        <v>1.8019449092758475</v>
      </c>
    </row>
    <row r="1126" spans="1:3" x14ac:dyDescent="0.15">
      <c r="A1126" s="22">
        <v>42762</v>
      </c>
      <c r="B1126">
        <v>4389.8500000000004</v>
      </c>
      <c r="C1126">
        <f t="shared" si="17"/>
        <v>1.8004765889031076</v>
      </c>
    </row>
    <row r="1127" spans="1:3" x14ac:dyDescent="0.15">
      <c r="A1127" s="22">
        <v>42765</v>
      </c>
      <c r="B1127">
        <v>4363.67</v>
      </c>
      <c r="C1127">
        <f t="shared" si="17"/>
        <v>1.7897389834957511</v>
      </c>
    </row>
    <row r="1128" spans="1:3" x14ac:dyDescent="0.15">
      <c r="A1128" s="22">
        <v>42766</v>
      </c>
      <c r="B1128">
        <v>4359.8100000000004</v>
      </c>
      <c r="C1128">
        <f t="shared" si="17"/>
        <v>1.788155822423467</v>
      </c>
    </row>
    <row r="1129" spans="1:3" x14ac:dyDescent="0.15">
      <c r="A1129" s="22">
        <v>42767</v>
      </c>
      <c r="B1129">
        <v>4362.1000000000004</v>
      </c>
      <c r="C1129">
        <f t="shared" si="17"/>
        <v>1.7890950552875942</v>
      </c>
    </row>
    <row r="1130" spans="1:3" x14ac:dyDescent="0.15">
      <c r="A1130" s="22">
        <v>42768</v>
      </c>
      <c r="B1130">
        <v>4364.8500000000004</v>
      </c>
      <c r="C1130">
        <f t="shared" si="17"/>
        <v>1.7902229550152577</v>
      </c>
    </row>
    <row r="1131" spans="1:3" x14ac:dyDescent="0.15">
      <c r="A1131" s="22">
        <v>42769</v>
      </c>
      <c r="B1131">
        <v>4396.95</v>
      </c>
      <c r="C1131">
        <f t="shared" si="17"/>
        <v>1.8033886209272567</v>
      </c>
    </row>
    <row r="1132" spans="1:3" x14ac:dyDescent="0.15">
      <c r="A1132" s="22">
        <v>42772</v>
      </c>
      <c r="B1132">
        <v>4387.67</v>
      </c>
      <c r="C1132">
        <f t="shared" si="17"/>
        <v>1.7995824720280869</v>
      </c>
    </row>
    <row r="1133" spans="1:3" x14ac:dyDescent="0.15">
      <c r="A1133" s="22">
        <v>42773</v>
      </c>
      <c r="B1133">
        <v>4388.87</v>
      </c>
      <c r="C1133">
        <f t="shared" si="17"/>
        <v>1.8000746464547037</v>
      </c>
    </row>
    <row r="1134" spans="1:3" x14ac:dyDescent="0.15">
      <c r="A1134" s="22">
        <v>42774</v>
      </c>
      <c r="B1134">
        <v>4393.3100000000004</v>
      </c>
      <c r="C1134">
        <f t="shared" si="17"/>
        <v>1.8018956918331859</v>
      </c>
    </row>
    <row r="1135" spans="1:3" x14ac:dyDescent="0.15">
      <c r="A1135" s="22">
        <v>42775</v>
      </c>
      <c r="B1135">
        <v>4419.3999999999996</v>
      </c>
      <c r="C1135">
        <f t="shared" si="17"/>
        <v>1.8125963841585457</v>
      </c>
    </row>
    <row r="1136" spans="1:3" x14ac:dyDescent="0.15">
      <c r="A1136" s="22">
        <v>42776</v>
      </c>
      <c r="B1136">
        <v>4435.42</v>
      </c>
      <c r="C1136">
        <f t="shared" si="17"/>
        <v>1.8191669127538801</v>
      </c>
    </row>
    <row r="1137" spans="1:3" x14ac:dyDescent="0.15">
      <c r="A1137" s="22">
        <v>42779</v>
      </c>
      <c r="B1137">
        <v>4459.83</v>
      </c>
      <c r="C1137">
        <f t="shared" si="17"/>
        <v>1.8291785608819766</v>
      </c>
    </row>
    <row r="1138" spans="1:3" x14ac:dyDescent="0.15">
      <c r="A1138" s="22">
        <v>42780</v>
      </c>
      <c r="B1138">
        <v>4478.9799999999996</v>
      </c>
      <c r="C1138">
        <f t="shared" si="17"/>
        <v>1.8370328444400694</v>
      </c>
    </row>
    <row r="1139" spans="1:3" x14ac:dyDescent="0.15">
      <c r="A1139" s="22">
        <v>42781</v>
      </c>
      <c r="B1139">
        <v>4501.99</v>
      </c>
      <c r="C1139">
        <f t="shared" si="17"/>
        <v>1.8464702890704465</v>
      </c>
    </row>
    <row r="1140" spans="1:3" x14ac:dyDescent="0.15">
      <c r="A1140" s="22">
        <v>42782</v>
      </c>
      <c r="B1140">
        <v>4498.5600000000004</v>
      </c>
      <c r="C1140">
        <f t="shared" si="17"/>
        <v>1.8450634905010339</v>
      </c>
    </row>
    <row r="1141" spans="1:3" x14ac:dyDescent="0.15">
      <c r="A1141" s="22">
        <v>42783</v>
      </c>
      <c r="B1141">
        <v>4506.2</v>
      </c>
      <c r="C1141">
        <f t="shared" si="17"/>
        <v>1.8481970010171604</v>
      </c>
    </row>
    <row r="1142" spans="1:3" x14ac:dyDescent="0.15">
      <c r="A1142" s="22">
        <v>42787</v>
      </c>
      <c r="B1142">
        <v>4533.46</v>
      </c>
      <c r="C1142">
        <f t="shared" si="17"/>
        <v>1.8593775634084722</v>
      </c>
    </row>
    <row r="1143" spans="1:3" x14ac:dyDescent="0.15">
      <c r="A1143" s="22">
        <v>42788</v>
      </c>
      <c r="B1143">
        <v>4528.97</v>
      </c>
      <c r="C1143">
        <f t="shared" si="17"/>
        <v>1.8575360107622143</v>
      </c>
    </row>
    <row r="1144" spans="1:3" x14ac:dyDescent="0.15">
      <c r="A1144" s="22">
        <v>42789</v>
      </c>
      <c r="B1144">
        <v>4531.3900000000003</v>
      </c>
      <c r="C1144">
        <f t="shared" si="17"/>
        <v>1.8585285625225583</v>
      </c>
    </row>
    <row r="1145" spans="1:3" x14ac:dyDescent="0.15">
      <c r="A1145" s="22">
        <v>42790</v>
      </c>
      <c r="B1145">
        <v>4539.25</v>
      </c>
      <c r="C1145">
        <f t="shared" si="17"/>
        <v>1.861752305016898</v>
      </c>
    </row>
    <row r="1146" spans="1:3" x14ac:dyDescent="0.15">
      <c r="A1146" s="22">
        <v>42793</v>
      </c>
      <c r="B1146">
        <v>4544.51</v>
      </c>
      <c r="C1146">
        <f t="shared" si="17"/>
        <v>1.8639096695869017</v>
      </c>
    </row>
    <row r="1147" spans="1:3" x14ac:dyDescent="0.15">
      <c r="A1147" s="22">
        <v>42794</v>
      </c>
      <c r="B1147">
        <v>4532.93</v>
      </c>
      <c r="C1147">
        <f t="shared" si="17"/>
        <v>1.8591601863700498</v>
      </c>
    </row>
    <row r="1148" spans="1:3" x14ac:dyDescent="0.15">
      <c r="A1148" s="22">
        <v>42795</v>
      </c>
      <c r="B1148">
        <v>4595.7299999999996</v>
      </c>
      <c r="C1148">
        <f t="shared" si="17"/>
        <v>1.8849173146963283</v>
      </c>
    </row>
    <row r="1149" spans="1:3" x14ac:dyDescent="0.15">
      <c r="A1149" s="22">
        <v>42796</v>
      </c>
      <c r="B1149">
        <v>4569.17</v>
      </c>
      <c r="C1149">
        <f t="shared" si="17"/>
        <v>1.8740238540538767</v>
      </c>
    </row>
    <row r="1150" spans="1:3" x14ac:dyDescent="0.15">
      <c r="A1150" s="22">
        <v>42797</v>
      </c>
      <c r="B1150">
        <v>4571.6000000000004</v>
      </c>
      <c r="C1150">
        <f t="shared" si="17"/>
        <v>1.8750205072677759</v>
      </c>
    </row>
    <row r="1151" spans="1:3" x14ac:dyDescent="0.15">
      <c r="A1151" s="22">
        <v>42800</v>
      </c>
      <c r="B1151">
        <v>4556.72</v>
      </c>
      <c r="C1151">
        <f t="shared" si="17"/>
        <v>1.8689175443777277</v>
      </c>
    </row>
    <row r="1152" spans="1:3" x14ac:dyDescent="0.15">
      <c r="A1152" s="22">
        <v>42801</v>
      </c>
      <c r="B1152">
        <v>4543.75</v>
      </c>
      <c r="C1152">
        <f t="shared" si="17"/>
        <v>1.8635979591167111</v>
      </c>
    </row>
    <row r="1153" spans="1:3" x14ac:dyDescent="0.15">
      <c r="A1153" s="22">
        <v>42802</v>
      </c>
      <c r="B1153">
        <v>4534.68</v>
      </c>
      <c r="C1153">
        <f t="shared" si="17"/>
        <v>1.8598779407421993</v>
      </c>
    </row>
    <row r="1154" spans="1:3" x14ac:dyDescent="0.15">
      <c r="A1154" s="22">
        <v>42803</v>
      </c>
      <c r="B1154">
        <v>4538.3599999999997</v>
      </c>
      <c r="C1154">
        <f t="shared" ref="C1154:C1217" si="18">(B1154 / $B$2)</f>
        <v>1.8613872756504906</v>
      </c>
    </row>
    <row r="1155" spans="1:3" x14ac:dyDescent="0.15">
      <c r="A1155" s="22">
        <v>42804</v>
      </c>
      <c r="B1155">
        <v>4553.28</v>
      </c>
      <c r="C1155">
        <f t="shared" si="18"/>
        <v>1.8675066443547594</v>
      </c>
    </row>
    <row r="1156" spans="1:3" x14ac:dyDescent="0.15">
      <c r="A1156" s="22">
        <v>42807</v>
      </c>
      <c r="B1156">
        <v>4556.4399999999996</v>
      </c>
      <c r="C1156">
        <f t="shared" si="18"/>
        <v>1.8688027036781836</v>
      </c>
    </row>
    <row r="1157" spans="1:3" x14ac:dyDescent="0.15">
      <c r="A1157" s="22">
        <v>42808</v>
      </c>
      <c r="B1157">
        <v>4541.26</v>
      </c>
      <c r="C1157">
        <f t="shared" si="18"/>
        <v>1.8625766971814812</v>
      </c>
    </row>
    <row r="1158" spans="1:3" x14ac:dyDescent="0.15">
      <c r="A1158" s="22">
        <v>42809</v>
      </c>
      <c r="B1158">
        <v>4579.4399999999996</v>
      </c>
      <c r="C1158">
        <f t="shared" si="18"/>
        <v>1.8782360468550054</v>
      </c>
    </row>
    <row r="1159" spans="1:3" x14ac:dyDescent="0.15">
      <c r="A1159" s="22">
        <v>42810</v>
      </c>
      <c r="B1159">
        <v>4572.16</v>
      </c>
      <c r="C1159">
        <f t="shared" si="18"/>
        <v>1.8752501886668635</v>
      </c>
    </row>
    <row r="1160" spans="1:3" x14ac:dyDescent="0.15">
      <c r="A1160" s="22">
        <v>42811</v>
      </c>
      <c r="B1160">
        <v>4566.17</v>
      </c>
      <c r="C1160">
        <f t="shared" si="18"/>
        <v>1.8727934179873349</v>
      </c>
    </row>
    <row r="1161" spans="1:3" x14ac:dyDescent="0.15">
      <c r="A1161" s="22">
        <v>42814</v>
      </c>
      <c r="B1161">
        <v>4557.12</v>
      </c>
      <c r="C1161">
        <f t="shared" si="18"/>
        <v>1.869081602519933</v>
      </c>
    </row>
    <row r="1162" spans="1:3" x14ac:dyDescent="0.15">
      <c r="A1162" s="22">
        <v>42815</v>
      </c>
      <c r="B1162">
        <v>4500.9799999999996</v>
      </c>
      <c r="C1162">
        <f t="shared" si="18"/>
        <v>1.8460560422613774</v>
      </c>
    </row>
    <row r="1163" spans="1:3" x14ac:dyDescent="0.15">
      <c r="A1163" s="22">
        <v>42816</v>
      </c>
      <c r="B1163">
        <v>4509.6499999999996</v>
      </c>
      <c r="C1163">
        <f t="shared" si="18"/>
        <v>1.8496120024936837</v>
      </c>
    </row>
    <row r="1164" spans="1:3" x14ac:dyDescent="0.15">
      <c r="A1164" s="22">
        <v>42817</v>
      </c>
      <c r="B1164">
        <v>4504.92</v>
      </c>
      <c r="C1164">
        <f t="shared" si="18"/>
        <v>1.8476720149621026</v>
      </c>
    </row>
    <row r="1165" spans="1:3" x14ac:dyDescent="0.15">
      <c r="A1165" s="22">
        <v>42818</v>
      </c>
      <c r="B1165">
        <v>4501.1099999999997</v>
      </c>
      <c r="C1165">
        <f t="shared" si="18"/>
        <v>1.8461093611575943</v>
      </c>
    </row>
    <row r="1166" spans="1:3" x14ac:dyDescent="0.15">
      <c r="A1166" s="22">
        <v>42821</v>
      </c>
      <c r="B1166">
        <v>4496.53</v>
      </c>
      <c r="C1166">
        <f t="shared" si="18"/>
        <v>1.8442308954293403</v>
      </c>
    </row>
    <row r="1167" spans="1:3" x14ac:dyDescent="0.15">
      <c r="A1167" s="22">
        <v>42822</v>
      </c>
      <c r="B1167">
        <v>4529.17</v>
      </c>
      <c r="C1167">
        <f t="shared" si="18"/>
        <v>1.8576180398333171</v>
      </c>
    </row>
    <row r="1168" spans="1:3" x14ac:dyDescent="0.15">
      <c r="A1168" s="22">
        <v>42823</v>
      </c>
      <c r="B1168">
        <v>4535.01</v>
      </c>
      <c r="C1168">
        <f t="shared" si="18"/>
        <v>1.8600132887095189</v>
      </c>
    </row>
    <row r="1169" spans="1:3" x14ac:dyDescent="0.15">
      <c r="A1169" s="22">
        <v>42824</v>
      </c>
      <c r="B1169">
        <v>4548.46</v>
      </c>
      <c r="C1169">
        <f t="shared" si="18"/>
        <v>1.865529743741182</v>
      </c>
    </row>
    <row r="1170" spans="1:3" x14ac:dyDescent="0.15">
      <c r="A1170" s="22">
        <v>42825</v>
      </c>
      <c r="B1170">
        <v>4538.21</v>
      </c>
      <c r="C1170">
        <f t="shared" si="18"/>
        <v>1.8613257538471635</v>
      </c>
    </row>
    <row r="1171" spans="1:3" x14ac:dyDescent="0.15">
      <c r="A1171" s="22">
        <v>42828</v>
      </c>
      <c r="B1171">
        <v>4530.9799999999996</v>
      </c>
      <c r="C1171">
        <f t="shared" si="18"/>
        <v>1.8583604029267973</v>
      </c>
    </row>
    <row r="1172" spans="1:3" x14ac:dyDescent="0.15">
      <c r="A1172" s="22">
        <v>42829</v>
      </c>
      <c r="B1172">
        <v>4534.25</v>
      </c>
      <c r="C1172">
        <f t="shared" si="18"/>
        <v>1.859701578239328</v>
      </c>
    </row>
    <row r="1173" spans="1:3" x14ac:dyDescent="0.15">
      <c r="A1173" s="22">
        <v>42830</v>
      </c>
      <c r="B1173">
        <v>4520.8599999999997</v>
      </c>
      <c r="C1173">
        <f t="shared" si="18"/>
        <v>1.8542097319289956</v>
      </c>
    </row>
    <row r="1174" spans="1:3" x14ac:dyDescent="0.15">
      <c r="A1174" s="22">
        <v>42831</v>
      </c>
      <c r="B1174">
        <v>4530.93</v>
      </c>
      <c r="C1174">
        <f t="shared" si="18"/>
        <v>1.8583398956590218</v>
      </c>
    </row>
    <row r="1175" spans="1:3" x14ac:dyDescent="0.15">
      <c r="A1175" s="22">
        <v>42832</v>
      </c>
      <c r="B1175">
        <v>4527.2</v>
      </c>
      <c r="C1175">
        <f t="shared" si="18"/>
        <v>1.8568100534829544</v>
      </c>
    </row>
    <row r="1176" spans="1:3" x14ac:dyDescent="0.15">
      <c r="A1176" s="22">
        <v>42835</v>
      </c>
      <c r="B1176">
        <v>4530.57</v>
      </c>
      <c r="C1176">
        <f t="shared" si="18"/>
        <v>1.8581922433310365</v>
      </c>
    </row>
    <row r="1177" spans="1:3" x14ac:dyDescent="0.15">
      <c r="A1177" s="22">
        <v>42836</v>
      </c>
      <c r="B1177">
        <v>4524.71</v>
      </c>
      <c r="C1177">
        <f t="shared" si="18"/>
        <v>1.8557887915477247</v>
      </c>
    </row>
    <row r="1178" spans="1:3" x14ac:dyDescent="0.15">
      <c r="A1178" s="22">
        <v>42837</v>
      </c>
      <c r="B1178">
        <v>4507.76</v>
      </c>
      <c r="C1178">
        <f t="shared" si="18"/>
        <v>1.8488368277717626</v>
      </c>
    </row>
    <row r="1179" spans="1:3" x14ac:dyDescent="0.15">
      <c r="A1179" s="22">
        <v>42838</v>
      </c>
      <c r="B1179">
        <v>4477.07</v>
      </c>
      <c r="C1179">
        <f t="shared" si="18"/>
        <v>1.8362494668110378</v>
      </c>
    </row>
    <row r="1180" spans="1:3" x14ac:dyDescent="0.15">
      <c r="A1180" s="22">
        <v>42842</v>
      </c>
      <c r="B1180">
        <v>4515.6499999999996</v>
      </c>
      <c r="C1180">
        <f t="shared" si="18"/>
        <v>1.8520728746267676</v>
      </c>
    </row>
    <row r="1181" spans="1:3" x14ac:dyDescent="0.15">
      <c r="A1181" s="22">
        <v>42843</v>
      </c>
      <c r="B1181">
        <v>4502.66</v>
      </c>
      <c r="C1181">
        <f t="shared" si="18"/>
        <v>1.846745086458641</v>
      </c>
    </row>
    <row r="1182" spans="1:3" x14ac:dyDescent="0.15">
      <c r="A1182" s="22">
        <v>42844</v>
      </c>
      <c r="B1182">
        <v>4495.5600000000004</v>
      </c>
      <c r="C1182">
        <f t="shared" si="18"/>
        <v>1.8438330544344919</v>
      </c>
    </row>
    <row r="1183" spans="1:3" x14ac:dyDescent="0.15">
      <c r="A1183" s="22">
        <v>42845</v>
      </c>
      <c r="B1183">
        <v>4529.6499999999996</v>
      </c>
      <c r="C1183">
        <f t="shared" si="18"/>
        <v>1.8578149096039636</v>
      </c>
    </row>
    <row r="1184" spans="1:3" x14ac:dyDescent="0.15">
      <c r="A1184" s="22">
        <v>42846</v>
      </c>
      <c r="B1184">
        <v>4515.8999999999996</v>
      </c>
      <c r="C1184">
        <f t="shared" si="18"/>
        <v>1.8521754109656461</v>
      </c>
    </row>
    <row r="1185" spans="1:3" x14ac:dyDescent="0.15">
      <c r="A1185" s="22">
        <v>42849</v>
      </c>
      <c r="B1185">
        <v>4564.93</v>
      </c>
      <c r="C1185">
        <f t="shared" si="18"/>
        <v>1.8722848377464976</v>
      </c>
    </row>
    <row r="1186" spans="1:3" x14ac:dyDescent="0.15">
      <c r="A1186" s="22">
        <v>42850</v>
      </c>
      <c r="B1186">
        <v>4592.74</v>
      </c>
      <c r="C1186">
        <f t="shared" si="18"/>
        <v>1.8836909800833415</v>
      </c>
    </row>
    <row r="1187" spans="1:3" x14ac:dyDescent="0.15">
      <c r="A1187" s="22">
        <v>42851</v>
      </c>
      <c r="B1187">
        <v>4590.5600000000004</v>
      </c>
      <c r="C1187">
        <f t="shared" si="18"/>
        <v>1.8827968632083214</v>
      </c>
    </row>
    <row r="1188" spans="1:3" x14ac:dyDescent="0.15">
      <c r="A1188" s="22">
        <v>42852</v>
      </c>
      <c r="B1188">
        <v>4593.57</v>
      </c>
      <c r="C1188">
        <f t="shared" si="18"/>
        <v>1.8840314007284182</v>
      </c>
    </row>
    <row r="1189" spans="1:3" x14ac:dyDescent="0.15">
      <c r="A1189" s="22">
        <v>42853</v>
      </c>
      <c r="B1189">
        <v>4584.82</v>
      </c>
      <c r="C1189">
        <f t="shared" si="18"/>
        <v>1.8804426288676708</v>
      </c>
    </row>
    <row r="1190" spans="1:3" x14ac:dyDescent="0.15">
      <c r="A1190" s="22">
        <v>42856</v>
      </c>
      <c r="B1190">
        <v>4592.78</v>
      </c>
      <c r="C1190">
        <f t="shared" si="18"/>
        <v>1.8837073858975621</v>
      </c>
    </row>
    <row r="1191" spans="1:3" x14ac:dyDescent="0.15">
      <c r="A1191" s="22">
        <v>42857</v>
      </c>
      <c r="B1191">
        <v>4598.24</v>
      </c>
      <c r="C1191">
        <f t="shared" si="18"/>
        <v>1.8859467795386686</v>
      </c>
    </row>
    <row r="1192" spans="1:3" x14ac:dyDescent="0.15">
      <c r="A1192" s="22">
        <v>42858</v>
      </c>
      <c r="B1192">
        <v>4593.32</v>
      </c>
      <c r="C1192">
        <f t="shared" si="18"/>
        <v>1.8839288643895395</v>
      </c>
    </row>
    <row r="1193" spans="1:3" x14ac:dyDescent="0.15">
      <c r="A1193" s="22">
        <v>42859</v>
      </c>
      <c r="B1193">
        <v>4596.24</v>
      </c>
      <c r="C1193">
        <f t="shared" si="18"/>
        <v>1.8851264888276404</v>
      </c>
    </row>
    <row r="1194" spans="1:3" x14ac:dyDescent="0.15">
      <c r="A1194" s="22">
        <v>42860</v>
      </c>
      <c r="B1194">
        <v>4615.09</v>
      </c>
      <c r="C1194">
        <f t="shared" si="18"/>
        <v>1.8928577287790795</v>
      </c>
    </row>
    <row r="1195" spans="1:3" x14ac:dyDescent="0.15">
      <c r="A1195" s="22">
        <v>42863</v>
      </c>
      <c r="B1195">
        <v>4615.7299999999996</v>
      </c>
      <c r="C1195">
        <f t="shared" si="18"/>
        <v>1.8931202218066081</v>
      </c>
    </row>
    <row r="1196" spans="1:3" x14ac:dyDescent="0.15">
      <c r="A1196" s="22">
        <v>42864</v>
      </c>
      <c r="B1196">
        <v>4611.21</v>
      </c>
      <c r="C1196">
        <f t="shared" si="18"/>
        <v>1.8912663647996852</v>
      </c>
    </row>
    <row r="1197" spans="1:3" x14ac:dyDescent="0.15">
      <c r="A1197" s="22">
        <v>42865</v>
      </c>
      <c r="B1197">
        <v>4618.1899999999996</v>
      </c>
      <c r="C1197">
        <f t="shared" si="18"/>
        <v>1.8941291793811725</v>
      </c>
    </row>
    <row r="1198" spans="1:3" x14ac:dyDescent="0.15">
      <c r="A1198" s="22">
        <v>42866</v>
      </c>
      <c r="B1198">
        <v>4609.6899999999996</v>
      </c>
      <c r="C1198">
        <f t="shared" si="18"/>
        <v>1.8906429438593038</v>
      </c>
    </row>
    <row r="1199" spans="1:3" x14ac:dyDescent="0.15">
      <c r="A1199" s="22">
        <v>42867</v>
      </c>
      <c r="B1199">
        <v>4602.96</v>
      </c>
      <c r="C1199">
        <f t="shared" si="18"/>
        <v>1.8878826656166947</v>
      </c>
    </row>
    <row r="1200" spans="1:3" x14ac:dyDescent="0.15">
      <c r="A1200" s="22">
        <v>42870</v>
      </c>
      <c r="B1200">
        <v>4625.51</v>
      </c>
      <c r="C1200">
        <f t="shared" si="18"/>
        <v>1.8971314433835353</v>
      </c>
    </row>
    <row r="1201" spans="1:3" x14ac:dyDescent="0.15">
      <c r="A1201" s="22">
        <v>42871</v>
      </c>
      <c r="B1201">
        <v>4623.26</v>
      </c>
      <c r="C1201">
        <f t="shared" si="18"/>
        <v>1.8962086163336289</v>
      </c>
    </row>
    <row r="1202" spans="1:3" x14ac:dyDescent="0.15">
      <c r="A1202" s="22">
        <v>42872</v>
      </c>
      <c r="B1202">
        <v>4540.58</v>
      </c>
      <c r="C1202">
        <f t="shared" si="18"/>
        <v>1.8622977983397317</v>
      </c>
    </row>
    <row r="1203" spans="1:3" x14ac:dyDescent="0.15">
      <c r="A1203" s="22">
        <v>42873</v>
      </c>
      <c r="B1203">
        <v>4557.41</v>
      </c>
      <c r="C1203">
        <f t="shared" si="18"/>
        <v>1.8692005446730322</v>
      </c>
    </row>
    <row r="1204" spans="1:3" x14ac:dyDescent="0.15">
      <c r="A1204" s="22">
        <v>42874</v>
      </c>
      <c r="B1204">
        <v>4588.3500000000004</v>
      </c>
      <c r="C1204">
        <f t="shared" si="18"/>
        <v>1.8818904419726354</v>
      </c>
    </row>
    <row r="1205" spans="1:3" x14ac:dyDescent="0.15">
      <c r="A1205" s="22">
        <v>42877</v>
      </c>
      <c r="B1205">
        <v>4612.12</v>
      </c>
      <c r="C1205">
        <f t="shared" si="18"/>
        <v>1.8916395970732027</v>
      </c>
    </row>
    <row r="1206" spans="1:3" x14ac:dyDescent="0.15">
      <c r="A1206" s="22">
        <v>42878</v>
      </c>
      <c r="B1206">
        <v>4620.7</v>
      </c>
      <c r="C1206">
        <f t="shared" si="18"/>
        <v>1.8951586442235129</v>
      </c>
    </row>
    <row r="1207" spans="1:3" x14ac:dyDescent="0.15">
      <c r="A1207" s="22">
        <v>42879</v>
      </c>
      <c r="B1207">
        <v>4632.37</v>
      </c>
      <c r="C1207">
        <f t="shared" si="18"/>
        <v>1.8999450405223612</v>
      </c>
    </row>
    <row r="1208" spans="1:3" x14ac:dyDescent="0.15">
      <c r="A1208" s="22">
        <v>42880</v>
      </c>
      <c r="B1208">
        <v>4653.59</v>
      </c>
      <c r="C1208">
        <f t="shared" si="18"/>
        <v>1.9086483249663682</v>
      </c>
    </row>
    <row r="1209" spans="1:3" x14ac:dyDescent="0.15">
      <c r="A1209" s="22">
        <v>42881</v>
      </c>
      <c r="B1209">
        <v>4655.6499999999996</v>
      </c>
      <c r="C1209">
        <f t="shared" si="18"/>
        <v>1.9094932243987268</v>
      </c>
    </row>
    <row r="1210" spans="1:3" x14ac:dyDescent="0.15">
      <c r="A1210" s="22">
        <v>42885</v>
      </c>
      <c r="B1210">
        <v>4650.76</v>
      </c>
      <c r="C1210">
        <f t="shared" si="18"/>
        <v>1.9074876136102636</v>
      </c>
    </row>
    <row r="1211" spans="1:3" x14ac:dyDescent="0.15">
      <c r="A1211" s="22">
        <v>42886</v>
      </c>
      <c r="B1211">
        <v>4649.34</v>
      </c>
      <c r="C1211">
        <f t="shared" si="18"/>
        <v>1.9069052072054338</v>
      </c>
    </row>
    <row r="1212" spans="1:3" x14ac:dyDescent="0.15">
      <c r="A1212" s="22">
        <v>42887</v>
      </c>
      <c r="B1212">
        <v>4685.1099999999997</v>
      </c>
      <c r="C1212">
        <f t="shared" si="18"/>
        <v>1.9215761065721693</v>
      </c>
    </row>
    <row r="1213" spans="1:3" x14ac:dyDescent="0.15">
      <c r="A1213" s="22">
        <v>42888</v>
      </c>
      <c r="B1213">
        <v>4702.5600000000004</v>
      </c>
      <c r="C1213">
        <f t="shared" si="18"/>
        <v>1.9287331430258887</v>
      </c>
    </row>
    <row r="1214" spans="1:3" x14ac:dyDescent="0.15">
      <c r="A1214" s="22">
        <v>42891</v>
      </c>
      <c r="B1214">
        <v>4697</v>
      </c>
      <c r="C1214">
        <f t="shared" si="18"/>
        <v>1.9264527348492306</v>
      </c>
    </row>
    <row r="1215" spans="1:3" x14ac:dyDescent="0.15">
      <c r="A1215" s="22">
        <v>42892</v>
      </c>
      <c r="B1215">
        <v>4683.96</v>
      </c>
      <c r="C1215">
        <f t="shared" si="18"/>
        <v>1.9211044394133283</v>
      </c>
    </row>
    <row r="1216" spans="1:3" x14ac:dyDescent="0.15">
      <c r="A1216" s="22">
        <v>42893</v>
      </c>
      <c r="B1216">
        <v>4692.29</v>
      </c>
      <c r="C1216">
        <f t="shared" si="18"/>
        <v>1.9245209502247598</v>
      </c>
    </row>
    <row r="1217" spans="1:3" x14ac:dyDescent="0.15">
      <c r="A1217" s="22">
        <v>42894</v>
      </c>
      <c r="B1217">
        <v>4693.67</v>
      </c>
      <c r="C1217">
        <f t="shared" si="18"/>
        <v>1.9250869508153692</v>
      </c>
    </row>
    <row r="1218" spans="1:3" x14ac:dyDescent="0.15">
      <c r="A1218" s="22">
        <v>42895</v>
      </c>
      <c r="B1218">
        <v>4689.79</v>
      </c>
      <c r="C1218">
        <f t="shared" ref="C1218:C1281" si="19">(B1218 / $B$2)</f>
        <v>1.9234955868359749</v>
      </c>
    </row>
    <row r="1219" spans="1:3" x14ac:dyDescent="0.15">
      <c r="A1219" s="22">
        <v>42898</v>
      </c>
      <c r="B1219">
        <v>4685.54</v>
      </c>
      <c r="C1219">
        <f t="shared" si="19"/>
        <v>1.9217524690750403</v>
      </c>
    </row>
    <row r="1220" spans="1:3" x14ac:dyDescent="0.15">
      <c r="A1220" s="22">
        <v>42899</v>
      </c>
      <c r="B1220">
        <v>4707.88</v>
      </c>
      <c r="C1220">
        <f t="shared" si="19"/>
        <v>1.9309151163172229</v>
      </c>
    </row>
    <row r="1221" spans="1:3" x14ac:dyDescent="0.15">
      <c r="A1221" s="22">
        <v>42900</v>
      </c>
      <c r="B1221">
        <v>4703.53</v>
      </c>
      <c r="C1221">
        <f t="shared" si="19"/>
        <v>1.9291309840207369</v>
      </c>
    </row>
    <row r="1222" spans="1:3" x14ac:dyDescent="0.15">
      <c r="A1222" s="22">
        <v>42901</v>
      </c>
      <c r="B1222">
        <v>4693.8599999999997</v>
      </c>
      <c r="C1222">
        <f t="shared" si="19"/>
        <v>1.9251648784329165</v>
      </c>
    </row>
    <row r="1223" spans="1:3" x14ac:dyDescent="0.15">
      <c r="A1223" s="22">
        <v>42902</v>
      </c>
      <c r="B1223">
        <v>4695.2299999999996</v>
      </c>
      <c r="C1223">
        <f t="shared" si="19"/>
        <v>1.9257267775699707</v>
      </c>
    </row>
    <row r="1224" spans="1:3" x14ac:dyDescent="0.15">
      <c r="A1224" s="22">
        <v>42905</v>
      </c>
      <c r="B1224">
        <v>4734.4799999999996</v>
      </c>
      <c r="C1224">
        <f t="shared" si="19"/>
        <v>1.9418249827738949</v>
      </c>
    </row>
    <row r="1225" spans="1:3" x14ac:dyDescent="0.15">
      <c r="A1225" s="22">
        <v>42906</v>
      </c>
      <c r="B1225">
        <v>4702.82</v>
      </c>
      <c r="C1225">
        <f t="shared" si="19"/>
        <v>1.928839780818322</v>
      </c>
    </row>
    <row r="1226" spans="1:3" x14ac:dyDescent="0.15">
      <c r="A1226" s="22">
        <v>42907</v>
      </c>
      <c r="B1226">
        <v>4700.5</v>
      </c>
      <c r="C1226">
        <f t="shared" si="19"/>
        <v>1.9278882435935296</v>
      </c>
    </row>
    <row r="1227" spans="1:3" x14ac:dyDescent="0.15">
      <c r="A1227" s="22">
        <v>42908</v>
      </c>
      <c r="B1227">
        <v>4698.3999999999996</v>
      </c>
      <c r="C1227">
        <f t="shared" si="19"/>
        <v>1.92702693834695</v>
      </c>
    </row>
    <row r="1228" spans="1:3" x14ac:dyDescent="0.15">
      <c r="A1228" s="22">
        <v>42909</v>
      </c>
      <c r="B1228">
        <v>4705.7299999999996</v>
      </c>
      <c r="C1228">
        <f t="shared" si="19"/>
        <v>1.9300333038028676</v>
      </c>
    </row>
    <row r="1229" spans="1:3" x14ac:dyDescent="0.15">
      <c r="A1229" s="22">
        <v>42912</v>
      </c>
      <c r="B1229">
        <v>4707.2700000000004</v>
      </c>
      <c r="C1229">
        <f t="shared" si="19"/>
        <v>1.9306649276503596</v>
      </c>
    </row>
    <row r="1230" spans="1:3" x14ac:dyDescent="0.15">
      <c r="A1230" s="22">
        <v>42913</v>
      </c>
      <c r="B1230">
        <v>4669.2700000000004</v>
      </c>
      <c r="C1230">
        <f t="shared" si="19"/>
        <v>1.9150794041408279</v>
      </c>
    </row>
    <row r="1231" spans="1:3" x14ac:dyDescent="0.15">
      <c r="A1231" s="22">
        <v>42914</v>
      </c>
      <c r="B1231">
        <v>4711.33</v>
      </c>
      <c r="C1231">
        <f t="shared" si="19"/>
        <v>1.9323301177937462</v>
      </c>
    </row>
    <row r="1232" spans="1:3" x14ac:dyDescent="0.15">
      <c r="A1232" s="22">
        <v>42915</v>
      </c>
      <c r="B1232">
        <v>4670.96</v>
      </c>
      <c r="C1232">
        <f t="shared" si="19"/>
        <v>1.9157725497916462</v>
      </c>
    </row>
    <row r="1233" spans="1:3" x14ac:dyDescent="0.15">
      <c r="A1233" s="22">
        <v>42916</v>
      </c>
      <c r="B1233">
        <v>4678.3599999999997</v>
      </c>
      <c r="C1233">
        <f t="shared" si="19"/>
        <v>1.9188076254224498</v>
      </c>
    </row>
    <row r="1234" spans="1:3" x14ac:dyDescent="0.15">
      <c r="A1234" s="22">
        <v>42919</v>
      </c>
      <c r="B1234">
        <v>4689.6099999999997</v>
      </c>
      <c r="C1234">
        <f t="shared" si="19"/>
        <v>1.9234217606719821</v>
      </c>
    </row>
    <row r="1235" spans="1:3" x14ac:dyDescent="0.15">
      <c r="A1235" s="22">
        <v>42921</v>
      </c>
      <c r="B1235">
        <v>4697.34</v>
      </c>
      <c r="C1235">
        <f t="shared" si="19"/>
        <v>1.9265921842701055</v>
      </c>
    </row>
    <row r="1236" spans="1:3" x14ac:dyDescent="0.15">
      <c r="A1236" s="22">
        <v>42922</v>
      </c>
      <c r="B1236">
        <v>4655.0200000000004</v>
      </c>
      <c r="C1236">
        <f t="shared" si="19"/>
        <v>1.9092348328247535</v>
      </c>
    </row>
    <row r="1237" spans="1:3" x14ac:dyDescent="0.15">
      <c r="A1237" s="22">
        <v>42923</v>
      </c>
      <c r="B1237">
        <v>4684.88</v>
      </c>
      <c r="C1237">
        <f t="shared" si="19"/>
        <v>1.921481773140401</v>
      </c>
    </row>
    <row r="1238" spans="1:3" x14ac:dyDescent="0.15">
      <c r="A1238" s="22">
        <v>42926</v>
      </c>
      <c r="B1238">
        <v>4689.25</v>
      </c>
      <c r="C1238">
        <f t="shared" si="19"/>
        <v>1.9232741083439973</v>
      </c>
    </row>
    <row r="1239" spans="1:3" x14ac:dyDescent="0.15">
      <c r="A1239" s="22">
        <v>42927</v>
      </c>
      <c r="B1239">
        <v>4685.6400000000003</v>
      </c>
      <c r="C1239">
        <f t="shared" si="19"/>
        <v>1.9217934836105919</v>
      </c>
    </row>
    <row r="1240" spans="1:3" x14ac:dyDescent="0.15">
      <c r="A1240" s="22">
        <v>42928</v>
      </c>
      <c r="B1240">
        <v>4720.28</v>
      </c>
      <c r="C1240">
        <f t="shared" si="19"/>
        <v>1.9360009187255964</v>
      </c>
    </row>
    <row r="1241" spans="1:3" x14ac:dyDescent="0.15">
      <c r="A1241" s="22">
        <v>42929</v>
      </c>
      <c r="B1241">
        <v>4729.25</v>
      </c>
      <c r="C1241">
        <f t="shared" si="19"/>
        <v>1.9396799225645569</v>
      </c>
    </row>
    <row r="1242" spans="1:3" x14ac:dyDescent="0.15">
      <c r="A1242" s="22">
        <v>42930</v>
      </c>
      <c r="B1242">
        <v>4751.43</v>
      </c>
      <c r="C1242">
        <f t="shared" si="19"/>
        <v>1.9487769465498574</v>
      </c>
    </row>
    <row r="1243" spans="1:3" x14ac:dyDescent="0.15">
      <c r="A1243" s="22">
        <v>42933</v>
      </c>
      <c r="B1243">
        <v>4751.33</v>
      </c>
      <c r="C1243">
        <f t="shared" si="19"/>
        <v>1.9487359320143061</v>
      </c>
    </row>
    <row r="1244" spans="1:3" x14ac:dyDescent="0.15">
      <c r="A1244" s="22">
        <v>42934</v>
      </c>
      <c r="B1244">
        <v>4754.2700000000004</v>
      </c>
      <c r="C1244">
        <f t="shared" si="19"/>
        <v>1.9499417593595174</v>
      </c>
    </row>
    <row r="1245" spans="1:3" x14ac:dyDescent="0.15">
      <c r="A1245" s="22">
        <v>42935</v>
      </c>
      <c r="B1245">
        <v>4780.25</v>
      </c>
      <c r="C1245">
        <f t="shared" si="19"/>
        <v>1.9605973356957707</v>
      </c>
    </row>
    <row r="1246" spans="1:3" x14ac:dyDescent="0.15">
      <c r="A1246" s="22">
        <v>42936</v>
      </c>
      <c r="B1246">
        <v>4779.84</v>
      </c>
      <c r="C1246">
        <f t="shared" si="19"/>
        <v>1.9604291761000101</v>
      </c>
    </row>
    <row r="1247" spans="1:3" x14ac:dyDescent="0.15">
      <c r="A1247" s="22">
        <v>42937</v>
      </c>
      <c r="B1247">
        <v>4778.07</v>
      </c>
      <c r="C1247">
        <f t="shared" si="19"/>
        <v>1.9597032188207502</v>
      </c>
    </row>
    <row r="1248" spans="1:3" x14ac:dyDescent="0.15">
      <c r="A1248" s="22">
        <v>42940</v>
      </c>
      <c r="B1248">
        <v>4773.1000000000004</v>
      </c>
      <c r="C1248">
        <f t="shared" si="19"/>
        <v>1.9576647964038458</v>
      </c>
    </row>
    <row r="1249" spans="1:3" x14ac:dyDescent="0.15">
      <c r="A1249" s="22">
        <v>42941</v>
      </c>
      <c r="B1249">
        <v>4787.04</v>
      </c>
      <c r="C1249">
        <f t="shared" si="19"/>
        <v>1.9633822226597106</v>
      </c>
    </row>
    <row r="1250" spans="1:3" x14ac:dyDescent="0.15">
      <c r="A1250" s="22">
        <v>42942</v>
      </c>
      <c r="B1250">
        <v>4788.41</v>
      </c>
      <c r="C1250">
        <f t="shared" si="19"/>
        <v>1.9639441217967648</v>
      </c>
    </row>
    <row r="1251" spans="1:3" x14ac:dyDescent="0.15">
      <c r="A1251" s="22">
        <v>42943</v>
      </c>
      <c r="B1251">
        <v>4784.26</v>
      </c>
      <c r="C1251">
        <f t="shared" si="19"/>
        <v>1.9622420185713818</v>
      </c>
    </row>
    <row r="1252" spans="1:3" x14ac:dyDescent="0.15">
      <c r="A1252" s="22">
        <v>42944</v>
      </c>
      <c r="B1252">
        <v>4778.0200000000004</v>
      </c>
      <c r="C1252">
        <f t="shared" si="19"/>
        <v>1.9596827115529747</v>
      </c>
    </row>
    <row r="1253" spans="1:3" x14ac:dyDescent="0.15">
      <c r="A1253" s="22">
        <v>42947</v>
      </c>
      <c r="B1253">
        <v>4774.5600000000004</v>
      </c>
      <c r="C1253">
        <f t="shared" si="19"/>
        <v>1.9582636086228962</v>
      </c>
    </row>
    <row r="1254" spans="1:3" x14ac:dyDescent="0.15">
      <c r="A1254" s="22">
        <v>42948</v>
      </c>
      <c r="B1254">
        <v>4786.2700000000004</v>
      </c>
      <c r="C1254">
        <f t="shared" si="19"/>
        <v>1.9630664107359652</v>
      </c>
    </row>
    <row r="1255" spans="1:3" x14ac:dyDescent="0.15">
      <c r="A1255" s="22">
        <v>42949</v>
      </c>
      <c r="B1255">
        <v>4789.54</v>
      </c>
      <c r="C1255">
        <f t="shared" si="19"/>
        <v>1.9644075860484957</v>
      </c>
    </row>
    <row r="1256" spans="1:3" x14ac:dyDescent="0.15">
      <c r="A1256" s="22">
        <v>42950</v>
      </c>
      <c r="B1256">
        <v>4779.99</v>
      </c>
      <c r="C1256">
        <f t="shared" si="19"/>
        <v>1.960490697903337</v>
      </c>
    </row>
    <row r="1257" spans="1:3" x14ac:dyDescent="0.15">
      <c r="A1257" s="22">
        <v>42951</v>
      </c>
      <c r="B1257">
        <v>4789.1099999999997</v>
      </c>
      <c r="C1257">
        <f t="shared" si="19"/>
        <v>1.9642312235456245</v>
      </c>
    </row>
    <row r="1258" spans="1:3" x14ac:dyDescent="0.15">
      <c r="A1258" s="22">
        <v>42954</v>
      </c>
      <c r="B1258">
        <v>4797.13</v>
      </c>
      <c r="C1258">
        <f t="shared" si="19"/>
        <v>1.967520589296847</v>
      </c>
    </row>
    <row r="1259" spans="1:3" x14ac:dyDescent="0.15">
      <c r="A1259" s="22">
        <v>42955</v>
      </c>
      <c r="B1259">
        <v>4786.12</v>
      </c>
      <c r="C1259">
        <f t="shared" si="19"/>
        <v>1.9630048889326377</v>
      </c>
    </row>
    <row r="1260" spans="1:3" x14ac:dyDescent="0.15">
      <c r="A1260" s="22">
        <v>42956</v>
      </c>
      <c r="B1260">
        <v>4784.9399999999996</v>
      </c>
      <c r="C1260">
        <f t="shared" si="19"/>
        <v>1.9625209174131311</v>
      </c>
    </row>
    <row r="1261" spans="1:3" x14ac:dyDescent="0.15">
      <c r="A1261" s="22">
        <v>42957</v>
      </c>
      <c r="B1261">
        <v>4717.3999999999996</v>
      </c>
      <c r="C1261">
        <f t="shared" si="19"/>
        <v>1.934819700101716</v>
      </c>
    </row>
    <row r="1262" spans="1:3" x14ac:dyDescent="0.15">
      <c r="A1262" s="22">
        <v>42958</v>
      </c>
      <c r="B1262">
        <v>4723.7299999999996</v>
      </c>
      <c r="C1262">
        <f t="shared" si="19"/>
        <v>1.9374159202021195</v>
      </c>
    </row>
    <row r="1263" spans="1:3" x14ac:dyDescent="0.15">
      <c r="A1263" s="22">
        <v>42961</v>
      </c>
      <c r="B1263">
        <v>4771.43</v>
      </c>
      <c r="C1263">
        <f t="shared" si="19"/>
        <v>1.9569798536601375</v>
      </c>
    </row>
    <row r="1264" spans="1:3" x14ac:dyDescent="0.15">
      <c r="A1264" s="22">
        <v>42962</v>
      </c>
      <c r="B1264">
        <v>4770.1499999999996</v>
      </c>
      <c r="C1264">
        <f t="shared" si="19"/>
        <v>1.9564548676050793</v>
      </c>
    </row>
    <row r="1265" spans="1:3" x14ac:dyDescent="0.15">
      <c r="A1265" s="22">
        <v>42963</v>
      </c>
      <c r="B1265">
        <v>4778.28</v>
      </c>
      <c r="C1265">
        <f t="shared" si="19"/>
        <v>1.9597893493454079</v>
      </c>
    </row>
    <row r="1266" spans="1:3" x14ac:dyDescent="0.15">
      <c r="A1266" s="22">
        <v>42964</v>
      </c>
      <c r="B1266">
        <v>4704.7299999999996</v>
      </c>
      <c r="C1266">
        <f t="shared" si="19"/>
        <v>1.9296231584473538</v>
      </c>
    </row>
    <row r="1267" spans="1:3" x14ac:dyDescent="0.15">
      <c r="A1267" s="22">
        <v>42965</v>
      </c>
      <c r="B1267">
        <v>4696.22</v>
      </c>
      <c r="C1267">
        <f t="shared" si="19"/>
        <v>1.9261328214719298</v>
      </c>
    </row>
    <row r="1268" spans="1:3" x14ac:dyDescent="0.15">
      <c r="A1268" s="22">
        <v>42968</v>
      </c>
      <c r="B1268">
        <v>4701.82</v>
      </c>
      <c r="C1268">
        <f t="shared" si="19"/>
        <v>1.9284296354628081</v>
      </c>
    </row>
    <row r="1269" spans="1:3" x14ac:dyDescent="0.15">
      <c r="A1269" s="22">
        <v>42969</v>
      </c>
      <c r="B1269">
        <v>4748.7299999999996</v>
      </c>
      <c r="C1269">
        <f t="shared" si="19"/>
        <v>1.9476695540899693</v>
      </c>
    </row>
    <row r="1270" spans="1:3" x14ac:dyDescent="0.15">
      <c r="A1270" s="22">
        <v>42970</v>
      </c>
      <c r="B1270">
        <v>4732.76</v>
      </c>
      <c r="C1270">
        <f t="shared" si="19"/>
        <v>1.9411195327624111</v>
      </c>
    </row>
    <row r="1271" spans="1:3" x14ac:dyDescent="0.15">
      <c r="A1271" s="22">
        <v>42971</v>
      </c>
      <c r="B1271">
        <v>4723.03</v>
      </c>
      <c r="C1271">
        <f t="shared" si="19"/>
        <v>1.9371288184532598</v>
      </c>
    </row>
    <row r="1272" spans="1:3" x14ac:dyDescent="0.15">
      <c r="A1272" s="22">
        <v>42972</v>
      </c>
      <c r="B1272">
        <v>4731.46</v>
      </c>
      <c r="C1272">
        <f t="shared" si="19"/>
        <v>1.9405863438002429</v>
      </c>
    </row>
    <row r="1273" spans="1:3" x14ac:dyDescent="0.15">
      <c r="A1273" s="22">
        <v>42975</v>
      </c>
      <c r="B1273">
        <v>4733.97</v>
      </c>
      <c r="C1273">
        <f t="shared" si="19"/>
        <v>1.9416158086425832</v>
      </c>
    </row>
    <row r="1274" spans="1:3" x14ac:dyDescent="0.15">
      <c r="A1274" s="22">
        <v>42976</v>
      </c>
      <c r="B1274">
        <v>4738.62</v>
      </c>
      <c r="C1274">
        <f t="shared" si="19"/>
        <v>1.9435229845457231</v>
      </c>
    </row>
    <row r="1275" spans="1:3" x14ac:dyDescent="0.15">
      <c r="A1275" s="22">
        <v>42977</v>
      </c>
      <c r="B1275">
        <v>4761.72</v>
      </c>
      <c r="C1275">
        <f t="shared" si="19"/>
        <v>1.9529973422580964</v>
      </c>
    </row>
    <row r="1276" spans="1:3" x14ac:dyDescent="0.15">
      <c r="A1276" s="22">
        <v>42978</v>
      </c>
      <c r="B1276">
        <v>4789.18</v>
      </c>
      <c r="C1276">
        <f t="shared" si="19"/>
        <v>1.9642599337205109</v>
      </c>
    </row>
    <row r="1277" spans="1:3" x14ac:dyDescent="0.15">
      <c r="A1277" s="22">
        <v>42979</v>
      </c>
      <c r="B1277">
        <v>4798.99</v>
      </c>
      <c r="C1277">
        <f t="shared" si="19"/>
        <v>1.9682834596581029</v>
      </c>
    </row>
    <row r="1278" spans="1:3" x14ac:dyDescent="0.15">
      <c r="A1278" s="22">
        <v>42983</v>
      </c>
      <c r="B1278">
        <v>4762.75</v>
      </c>
      <c r="C1278">
        <f t="shared" si="19"/>
        <v>1.9534197919742757</v>
      </c>
    </row>
    <row r="1279" spans="1:3" x14ac:dyDescent="0.15">
      <c r="A1279" s="22">
        <v>42984</v>
      </c>
      <c r="B1279">
        <v>4777.6899999999996</v>
      </c>
      <c r="C1279">
        <f t="shared" si="19"/>
        <v>1.9595473635856546</v>
      </c>
    </row>
    <row r="1280" spans="1:3" x14ac:dyDescent="0.15">
      <c r="A1280" s="22">
        <v>42985</v>
      </c>
      <c r="B1280">
        <v>4777.93</v>
      </c>
      <c r="C1280">
        <f t="shared" si="19"/>
        <v>1.9596457984709783</v>
      </c>
    </row>
    <row r="1281" spans="1:3" x14ac:dyDescent="0.15">
      <c r="A1281" s="22">
        <v>42986</v>
      </c>
      <c r="B1281">
        <v>4771.0200000000004</v>
      </c>
      <c r="C1281">
        <f t="shared" si="19"/>
        <v>1.9568116940643767</v>
      </c>
    </row>
    <row r="1282" spans="1:3" x14ac:dyDescent="0.15">
      <c r="A1282" s="22">
        <v>42989</v>
      </c>
      <c r="B1282">
        <v>4822.8</v>
      </c>
      <c r="C1282">
        <f t="shared" ref="C1282:C1345" si="20">(B1282 / $B$2)</f>
        <v>1.9780490205728911</v>
      </c>
    </row>
    <row r="1283" spans="1:3" x14ac:dyDescent="0.15">
      <c r="A1283" s="22">
        <v>42990</v>
      </c>
      <c r="B1283">
        <v>4839.3100000000004</v>
      </c>
      <c r="C1283">
        <f t="shared" si="20"/>
        <v>1.9848205203924274</v>
      </c>
    </row>
    <row r="1284" spans="1:3" x14ac:dyDescent="0.15">
      <c r="A1284" s="22">
        <v>42991</v>
      </c>
      <c r="B1284">
        <v>4843.04</v>
      </c>
      <c r="C1284">
        <f t="shared" si="20"/>
        <v>1.9863503625684944</v>
      </c>
    </row>
    <row r="1285" spans="1:3" x14ac:dyDescent="0.15">
      <c r="A1285" s="22">
        <v>42992</v>
      </c>
      <c r="B1285">
        <v>4839.29</v>
      </c>
      <c r="C1285">
        <f t="shared" si="20"/>
        <v>1.9848123174853169</v>
      </c>
    </row>
    <row r="1286" spans="1:3" x14ac:dyDescent="0.15">
      <c r="A1286" s="22">
        <v>42993</v>
      </c>
      <c r="B1286">
        <v>4848.84</v>
      </c>
      <c r="C1286">
        <f t="shared" si="20"/>
        <v>1.9887292056304757</v>
      </c>
    </row>
    <row r="1287" spans="1:3" x14ac:dyDescent="0.15">
      <c r="A1287" s="22">
        <v>42996</v>
      </c>
      <c r="B1287">
        <v>4856.08</v>
      </c>
      <c r="C1287">
        <f t="shared" si="20"/>
        <v>1.9916986580043969</v>
      </c>
    </row>
    <row r="1288" spans="1:3" x14ac:dyDescent="0.15">
      <c r="A1288" s="22">
        <v>42997</v>
      </c>
      <c r="B1288">
        <v>4861.5200000000004</v>
      </c>
      <c r="C1288">
        <f t="shared" si="20"/>
        <v>1.9939298487383932</v>
      </c>
    </row>
    <row r="1289" spans="1:3" x14ac:dyDescent="0.15">
      <c r="A1289" s="22">
        <v>42998</v>
      </c>
      <c r="B1289">
        <v>4864.6099999999997</v>
      </c>
      <c r="C1289">
        <f t="shared" si="20"/>
        <v>1.9951971978869312</v>
      </c>
    </row>
    <row r="1290" spans="1:3" x14ac:dyDescent="0.15">
      <c r="A1290" s="22">
        <v>42999</v>
      </c>
      <c r="B1290">
        <v>4849.95</v>
      </c>
      <c r="C1290">
        <f t="shared" si="20"/>
        <v>1.989184466975096</v>
      </c>
    </row>
    <row r="1291" spans="1:3" x14ac:dyDescent="0.15">
      <c r="A1291" s="22">
        <v>43000</v>
      </c>
      <c r="B1291">
        <v>4853.2</v>
      </c>
      <c r="C1291">
        <f t="shared" si="20"/>
        <v>1.9905174393805165</v>
      </c>
    </row>
    <row r="1292" spans="1:3" x14ac:dyDescent="0.15">
      <c r="A1292" s="22">
        <v>43003</v>
      </c>
      <c r="B1292">
        <v>4842.41</v>
      </c>
      <c r="C1292">
        <f t="shared" si="20"/>
        <v>1.9860919709945206</v>
      </c>
    </row>
    <row r="1293" spans="1:3" x14ac:dyDescent="0.15">
      <c r="A1293" s="22">
        <v>43004</v>
      </c>
      <c r="B1293">
        <v>4843.1400000000003</v>
      </c>
      <c r="C1293">
        <f t="shared" si="20"/>
        <v>1.986391377104046</v>
      </c>
    </row>
    <row r="1294" spans="1:3" x14ac:dyDescent="0.15">
      <c r="A1294" s="22">
        <v>43005</v>
      </c>
      <c r="B1294">
        <v>4862.93</v>
      </c>
      <c r="C1294">
        <f t="shared" si="20"/>
        <v>1.9945081536896678</v>
      </c>
    </row>
    <row r="1295" spans="1:3" x14ac:dyDescent="0.15">
      <c r="A1295" s="22">
        <v>43006</v>
      </c>
      <c r="B1295">
        <v>4869.8100000000004</v>
      </c>
      <c r="C1295">
        <f t="shared" si="20"/>
        <v>1.9973299537356042</v>
      </c>
    </row>
    <row r="1296" spans="1:3" x14ac:dyDescent="0.15">
      <c r="A1296" s="22">
        <v>43007</v>
      </c>
      <c r="B1296">
        <v>4887.97</v>
      </c>
      <c r="C1296">
        <f t="shared" si="20"/>
        <v>2.0047781933917381</v>
      </c>
    </row>
    <row r="1297" spans="1:3" x14ac:dyDescent="0.15">
      <c r="A1297" s="22">
        <v>43010</v>
      </c>
      <c r="B1297">
        <v>4906.92</v>
      </c>
      <c r="C1297">
        <f t="shared" si="20"/>
        <v>2.0125504478787284</v>
      </c>
    </row>
    <row r="1298" spans="1:3" x14ac:dyDescent="0.15">
      <c r="A1298" s="22">
        <v>43011</v>
      </c>
      <c r="B1298">
        <v>4917.7299999999996</v>
      </c>
      <c r="C1298">
        <f t="shared" si="20"/>
        <v>2.0169841191718345</v>
      </c>
    </row>
    <row r="1299" spans="1:3" x14ac:dyDescent="0.15">
      <c r="A1299" s="22">
        <v>43012</v>
      </c>
      <c r="B1299">
        <v>4924.1899999999996</v>
      </c>
      <c r="C1299">
        <f t="shared" si="20"/>
        <v>2.0196336581684546</v>
      </c>
    </row>
    <row r="1300" spans="1:3" x14ac:dyDescent="0.15">
      <c r="A1300" s="22">
        <v>43013</v>
      </c>
      <c r="B1300">
        <v>4952.8500000000004</v>
      </c>
      <c r="C1300">
        <f t="shared" si="20"/>
        <v>2.0313884240574862</v>
      </c>
    </row>
    <row r="1301" spans="1:3" x14ac:dyDescent="0.15">
      <c r="A1301" s="22">
        <v>43014</v>
      </c>
      <c r="B1301">
        <v>4949.09</v>
      </c>
      <c r="C1301">
        <f t="shared" si="20"/>
        <v>2.0298462775207535</v>
      </c>
    </row>
    <row r="1302" spans="1:3" x14ac:dyDescent="0.15">
      <c r="A1302" s="22">
        <v>43017</v>
      </c>
      <c r="B1302">
        <v>4940.16</v>
      </c>
      <c r="C1302">
        <f t="shared" si="20"/>
        <v>2.0261836794960133</v>
      </c>
    </row>
    <row r="1303" spans="1:3" x14ac:dyDescent="0.15">
      <c r="A1303" s="22">
        <v>43018</v>
      </c>
      <c r="B1303">
        <v>4951.7700000000004</v>
      </c>
      <c r="C1303">
        <f t="shared" si="20"/>
        <v>2.030945467073531</v>
      </c>
    </row>
    <row r="1304" spans="1:3" x14ac:dyDescent="0.15">
      <c r="A1304" s="22">
        <v>43019</v>
      </c>
      <c r="B1304">
        <v>4960.79</v>
      </c>
      <c r="C1304">
        <f t="shared" si="20"/>
        <v>2.0346449781802671</v>
      </c>
    </row>
    <row r="1305" spans="1:3" x14ac:dyDescent="0.15">
      <c r="A1305" s="22">
        <v>43020</v>
      </c>
      <c r="B1305">
        <v>4952.8500000000004</v>
      </c>
      <c r="C1305">
        <f t="shared" si="20"/>
        <v>2.0313884240574862</v>
      </c>
    </row>
    <row r="1306" spans="1:3" x14ac:dyDescent="0.15">
      <c r="A1306" s="22">
        <v>43021</v>
      </c>
      <c r="B1306">
        <v>4957.2700000000004</v>
      </c>
      <c r="C1306">
        <f t="shared" si="20"/>
        <v>2.0332012665288581</v>
      </c>
    </row>
    <row r="1307" spans="1:3" x14ac:dyDescent="0.15">
      <c r="A1307" s="22">
        <v>43024</v>
      </c>
      <c r="B1307">
        <v>4966.05</v>
      </c>
      <c r="C1307">
        <f t="shared" si="20"/>
        <v>2.0368023427502711</v>
      </c>
    </row>
    <row r="1308" spans="1:3" x14ac:dyDescent="0.15">
      <c r="A1308" s="22">
        <v>43025</v>
      </c>
      <c r="B1308">
        <v>4969.38</v>
      </c>
      <c r="C1308">
        <f t="shared" si="20"/>
        <v>2.0381681267841323</v>
      </c>
    </row>
    <row r="1309" spans="1:3" x14ac:dyDescent="0.15">
      <c r="A1309" s="22">
        <v>43026</v>
      </c>
      <c r="B1309">
        <v>4973.28</v>
      </c>
      <c r="C1309">
        <f t="shared" si="20"/>
        <v>2.0397676936706368</v>
      </c>
    </row>
    <row r="1310" spans="1:3" x14ac:dyDescent="0.15">
      <c r="A1310" s="22">
        <v>43027</v>
      </c>
      <c r="B1310">
        <v>4975.32</v>
      </c>
      <c r="C1310">
        <f t="shared" si="20"/>
        <v>2.0406043901958855</v>
      </c>
    </row>
    <row r="1311" spans="1:3" x14ac:dyDescent="0.15">
      <c r="A1311" s="22">
        <v>43028</v>
      </c>
      <c r="B1311">
        <v>5001.1099999999997</v>
      </c>
      <c r="C1311">
        <f t="shared" si="20"/>
        <v>2.0511820389145914</v>
      </c>
    </row>
    <row r="1312" spans="1:3" x14ac:dyDescent="0.15">
      <c r="A1312" s="22">
        <v>43031</v>
      </c>
      <c r="B1312">
        <v>4981.37</v>
      </c>
      <c r="C1312">
        <f t="shared" si="20"/>
        <v>2.043085769596745</v>
      </c>
    </row>
    <row r="1313" spans="1:3" x14ac:dyDescent="0.15">
      <c r="A1313" s="22">
        <v>43032</v>
      </c>
      <c r="B1313">
        <v>4989.5600000000004</v>
      </c>
      <c r="C1313">
        <f t="shared" si="20"/>
        <v>2.0464448600584051</v>
      </c>
    </row>
    <row r="1314" spans="1:3" x14ac:dyDescent="0.15">
      <c r="A1314" s="22">
        <v>43033</v>
      </c>
      <c r="B1314">
        <v>4966.29</v>
      </c>
      <c r="C1314">
        <f t="shared" si="20"/>
        <v>2.0369007776355943</v>
      </c>
    </row>
    <row r="1315" spans="1:3" x14ac:dyDescent="0.15">
      <c r="A1315" s="22">
        <v>43034</v>
      </c>
      <c r="B1315">
        <v>4972.6000000000004</v>
      </c>
      <c r="C1315">
        <f t="shared" si="20"/>
        <v>2.0394887948288876</v>
      </c>
    </row>
    <row r="1316" spans="1:3" x14ac:dyDescent="0.15">
      <c r="A1316" s="22">
        <v>43035</v>
      </c>
      <c r="B1316">
        <v>5012.75</v>
      </c>
      <c r="C1316">
        <f t="shared" si="20"/>
        <v>2.0559561308527745</v>
      </c>
    </row>
    <row r="1317" spans="1:3" x14ac:dyDescent="0.15">
      <c r="A1317" s="22">
        <v>43038</v>
      </c>
      <c r="B1317">
        <v>4997.1499999999996</v>
      </c>
      <c r="C1317">
        <f t="shared" si="20"/>
        <v>2.0495578633067559</v>
      </c>
    </row>
    <row r="1318" spans="1:3" x14ac:dyDescent="0.15">
      <c r="A1318" s="22">
        <v>43039</v>
      </c>
      <c r="B1318">
        <v>5002.03</v>
      </c>
      <c r="C1318">
        <f t="shared" si="20"/>
        <v>2.0515593726416643</v>
      </c>
    </row>
    <row r="1319" spans="1:3" x14ac:dyDescent="0.15">
      <c r="A1319" s="22">
        <v>43040</v>
      </c>
      <c r="B1319">
        <v>5009.99</v>
      </c>
      <c r="C1319">
        <f t="shared" si="20"/>
        <v>2.0548241296715557</v>
      </c>
    </row>
    <row r="1320" spans="1:3" x14ac:dyDescent="0.15">
      <c r="A1320" s="22">
        <v>43041</v>
      </c>
      <c r="B1320">
        <v>5011.4799999999996</v>
      </c>
      <c r="C1320">
        <f t="shared" si="20"/>
        <v>2.0554352462512715</v>
      </c>
    </row>
    <row r="1321" spans="1:3" x14ac:dyDescent="0.15">
      <c r="A1321" s="22">
        <v>43042</v>
      </c>
      <c r="B1321">
        <v>5027.49</v>
      </c>
      <c r="C1321">
        <f t="shared" si="20"/>
        <v>2.0620016733930506</v>
      </c>
    </row>
    <row r="1322" spans="1:3" x14ac:dyDescent="0.15">
      <c r="A1322" s="22">
        <v>43045</v>
      </c>
      <c r="B1322">
        <v>5034.3</v>
      </c>
      <c r="C1322">
        <f t="shared" si="20"/>
        <v>2.0647947632641008</v>
      </c>
    </row>
    <row r="1323" spans="1:3" x14ac:dyDescent="0.15">
      <c r="A1323" s="22">
        <v>43046</v>
      </c>
      <c r="B1323">
        <v>5033.38</v>
      </c>
      <c r="C1323">
        <f t="shared" si="20"/>
        <v>2.0644174295370279</v>
      </c>
    </row>
    <row r="1324" spans="1:3" x14ac:dyDescent="0.15">
      <c r="A1324" s="22">
        <v>43047</v>
      </c>
      <c r="B1324">
        <v>5040.74</v>
      </c>
      <c r="C1324">
        <f t="shared" si="20"/>
        <v>2.0674360993536109</v>
      </c>
    </row>
    <row r="1325" spans="1:3" x14ac:dyDescent="0.15">
      <c r="A1325" s="22">
        <v>43048</v>
      </c>
      <c r="B1325">
        <v>5023.01</v>
      </c>
      <c r="C1325">
        <f t="shared" si="20"/>
        <v>2.0601642222003482</v>
      </c>
    </row>
    <row r="1326" spans="1:3" x14ac:dyDescent="0.15">
      <c r="A1326" s="22">
        <v>43049</v>
      </c>
      <c r="B1326">
        <v>5020.3100000000004</v>
      </c>
      <c r="C1326">
        <f t="shared" si="20"/>
        <v>2.0590568297404603</v>
      </c>
    </row>
    <row r="1327" spans="1:3" x14ac:dyDescent="0.15">
      <c r="A1327" s="22">
        <v>43052</v>
      </c>
      <c r="B1327">
        <v>5025.3599999999997</v>
      </c>
      <c r="C1327">
        <f t="shared" si="20"/>
        <v>2.0611280637858056</v>
      </c>
    </row>
    <row r="1328" spans="1:3" x14ac:dyDescent="0.15">
      <c r="A1328" s="22">
        <v>43053</v>
      </c>
      <c r="B1328">
        <v>5014.53</v>
      </c>
      <c r="C1328">
        <f t="shared" si="20"/>
        <v>2.056686189585589</v>
      </c>
    </row>
    <row r="1329" spans="1:3" x14ac:dyDescent="0.15">
      <c r="A1329" s="22">
        <v>43054</v>
      </c>
      <c r="B1329">
        <v>4987.96</v>
      </c>
      <c r="C1329">
        <f t="shared" si="20"/>
        <v>2.0457886274895825</v>
      </c>
    </row>
    <row r="1330" spans="1:3" x14ac:dyDescent="0.15">
      <c r="A1330" s="22">
        <v>43055</v>
      </c>
      <c r="B1330">
        <v>5030.4799999999996</v>
      </c>
      <c r="C1330">
        <f t="shared" si="20"/>
        <v>2.0632280080060372</v>
      </c>
    </row>
    <row r="1331" spans="1:3" x14ac:dyDescent="0.15">
      <c r="A1331" s="22">
        <v>43056</v>
      </c>
      <c r="B1331">
        <v>5017.45</v>
      </c>
      <c r="C1331">
        <f t="shared" si="20"/>
        <v>2.0578838140236901</v>
      </c>
    </row>
    <row r="1332" spans="1:3" x14ac:dyDescent="0.15">
      <c r="A1332" s="22">
        <v>43059</v>
      </c>
      <c r="B1332">
        <v>5024.01</v>
      </c>
      <c r="C1332">
        <f t="shared" si="20"/>
        <v>2.0605743675558621</v>
      </c>
    </row>
    <row r="1333" spans="1:3" x14ac:dyDescent="0.15">
      <c r="A1333" s="22">
        <v>43060</v>
      </c>
      <c r="B1333">
        <v>5056.95</v>
      </c>
      <c r="C1333">
        <f t="shared" si="20"/>
        <v>2.0740845555664928</v>
      </c>
    </row>
    <row r="1334" spans="1:3" x14ac:dyDescent="0.15">
      <c r="A1334" s="22">
        <v>43061</v>
      </c>
      <c r="B1334">
        <v>5053.6000000000004</v>
      </c>
      <c r="C1334">
        <f t="shared" si="20"/>
        <v>2.0727105686255212</v>
      </c>
    </row>
    <row r="1335" spans="1:3" x14ac:dyDescent="0.15">
      <c r="A1335" s="22">
        <v>43063</v>
      </c>
      <c r="B1335">
        <v>5064.2299999999996</v>
      </c>
      <c r="C1335">
        <f t="shared" si="20"/>
        <v>2.0770704137546345</v>
      </c>
    </row>
    <row r="1336" spans="1:3" x14ac:dyDescent="0.15">
      <c r="A1336" s="22">
        <v>43066</v>
      </c>
      <c r="B1336">
        <v>5062.8500000000004</v>
      </c>
      <c r="C1336">
        <f t="shared" si="20"/>
        <v>2.0765044131640256</v>
      </c>
    </row>
    <row r="1337" spans="1:3" x14ac:dyDescent="0.15">
      <c r="A1337" s="22">
        <v>43067</v>
      </c>
      <c r="B1337">
        <v>5112.91</v>
      </c>
      <c r="C1337">
        <f t="shared" si="20"/>
        <v>2.0970362896610562</v>
      </c>
    </row>
    <row r="1338" spans="1:3" x14ac:dyDescent="0.15">
      <c r="A1338" s="22">
        <v>43068</v>
      </c>
      <c r="B1338">
        <v>5111.68</v>
      </c>
      <c r="C1338">
        <f t="shared" si="20"/>
        <v>2.096531810873774</v>
      </c>
    </row>
    <row r="1339" spans="1:3" x14ac:dyDescent="0.15">
      <c r="A1339" s="22">
        <v>43069</v>
      </c>
      <c r="B1339">
        <v>5155.4399999999996</v>
      </c>
      <c r="C1339">
        <f t="shared" si="20"/>
        <v>2.1144797716310659</v>
      </c>
    </row>
    <row r="1340" spans="1:3" x14ac:dyDescent="0.15">
      <c r="A1340" s="22">
        <v>43070</v>
      </c>
      <c r="B1340">
        <v>5145.21</v>
      </c>
      <c r="C1340">
        <f t="shared" si="20"/>
        <v>2.1102839846441581</v>
      </c>
    </row>
    <row r="1341" spans="1:3" x14ac:dyDescent="0.15">
      <c r="A1341" s="22">
        <v>43073</v>
      </c>
      <c r="B1341">
        <v>5139.91</v>
      </c>
      <c r="C1341">
        <f t="shared" si="20"/>
        <v>2.1081102142599337</v>
      </c>
    </row>
    <row r="1342" spans="1:3" x14ac:dyDescent="0.15">
      <c r="A1342" s="22">
        <v>43074</v>
      </c>
      <c r="B1342">
        <v>5120.92</v>
      </c>
      <c r="C1342">
        <f t="shared" si="20"/>
        <v>2.100321553958723</v>
      </c>
    </row>
    <row r="1343" spans="1:3" x14ac:dyDescent="0.15">
      <c r="A1343" s="22">
        <v>43075</v>
      </c>
      <c r="B1343">
        <v>5120.46</v>
      </c>
      <c r="C1343">
        <f t="shared" si="20"/>
        <v>2.1001328870951865</v>
      </c>
    </row>
    <row r="1344" spans="1:3" x14ac:dyDescent="0.15">
      <c r="A1344" s="22">
        <v>43076</v>
      </c>
      <c r="B1344">
        <v>5136.37</v>
      </c>
      <c r="C1344">
        <f t="shared" si="20"/>
        <v>2.1066582997014143</v>
      </c>
    </row>
    <row r="1345" spans="1:3" x14ac:dyDescent="0.15">
      <c r="A1345" s="22">
        <v>43077</v>
      </c>
      <c r="B1345">
        <v>5165.1899999999996</v>
      </c>
      <c r="C1345">
        <f t="shared" si="20"/>
        <v>2.1184786888473273</v>
      </c>
    </row>
    <row r="1346" spans="1:3" x14ac:dyDescent="0.15">
      <c r="A1346" s="22">
        <v>43080</v>
      </c>
      <c r="B1346">
        <v>5181.75</v>
      </c>
      <c r="C1346">
        <f t="shared" ref="C1346:C1409" si="21">(B1346 / $B$2)</f>
        <v>2.1252706959346392</v>
      </c>
    </row>
    <row r="1347" spans="1:3" x14ac:dyDescent="0.15">
      <c r="A1347" s="22">
        <v>43081</v>
      </c>
      <c r="B1347">
        <v>5189.96</v>
      </c>
      <c r="C1347">
        <f t="shared" si="21"/>
        <v>2.1286379893034093</v>
      </c>
    </row>
    <row r="1348" spans="1:3" x14ac:dyDescent="0.15">
      <c r="A1348" s="22">
        <v>43082</v>
      </c>
      <c r="B1348">
        <v>5187.68</v>
      </c>
      <c r="C1348">
        <f t="shared" si="21"/>
        <v>2.1277028578928374</v>
      </c>
    </row>
    <row r="1349" spans="1:3" x14ac:dyDescent="0.15">
      <c r="A1349" s="22">
        <v>43083</v>
      </c>
      <c r="B1349">
        <v>5167.45</v>
      </c>
      <c r="C1349">
        <f t="shared" si="21"/>
        <v>2.1194056173507891</v>
      </c>
    </row>
    <row r="1350" spans="1:3" x14ac:dyDescent="0.15">
      <c r="A1350" s="22">
        <v>43084</v>
      </c>
      <c r="B1350">
        <v>5214.1000000000004</v>
      </c>
      <c r="C1350">
        <f t="shared" si="21"/>
        <v>2.1385388981855171</v>
      </c>
    </row>
    <row r="1351" spans="1:3" x14ac:dyDescent="0.15">
      <c r="A1351" s="22">
        <v>43087</v>
      </c>
      <c r="B1351">
        <v>5242.28</v>
      </c>
      <c r="C1351">
        <f t="shared" si="21"/>
        <v>2.1500967943039013</v>
      </c>
    </row>
    <row r="1352" spans="1:3" x14ac:dyDescent="0.15">
      <c r="A1352" s="22">
        <v>43088</v>
      </c>
      <c r="B1352">
        <v>5225.43</v>
      </c>
      <c r="C1352">
        <f t="shared" si="21"/>
        <v>2.1431858450634906</v>
      </c>
    </row>
    <row r="1353" spans="1:3" x14ac:dyDescent="0.15">
      <c r="A1353" s="22">
        <v>43089</v>
      </c>
      <c r="B1353">
        <v>5221.79</v>
      </c>
      <c r="C1353">
        <f t="shared" si="21"/>
        <v>2.1416929159694198</v>
      </c>
    </row>
    <row r="1354" spans="1:3" x14ac:dyDescent="0.15">
      <c r="A1354" s="22">
        <v>43090</v>
      </c>
      <c r="B1354">
        <v>5232.16</v>
      </c>
      <c r="C1354">
        <f t="shared" si="21"/>
        <v>2.1459461233060999</v>
      </c>
    </row>
    <row r="1355" spans="1:3" x14ac:dyDescent="0.15">
      <c r="A1355" s="22">
        <v>43091</v>
      </c>
      <c r="B1355">
        <v>5229.79</v>
      </c>
      <c r="C1355">
        <f t="shared" si="21"/>
        <v>2.1449740788135316</v>
      </c>
    </row>
    <row r="1356" spans="1:3" x14ac:dyDescent="0.15">
      <c r="A1356" s="22">
        <v>43095</v>
      </c>
      <c r="B1356">
        <v>5224.51</v>
      </c>
      <c r="C1356">
        <f t="shared" si="21"/>
        <v>2.1428085113364177</v>
      </c>
    </row>
    <row r="1357" spans="1:3" x14ac:dyDescent="0.15">
      <c r="A1357" s="22">
        <v>43096</v>
      </c>
      <c r="B1357">
        <v>5229.01</v>
      </c>
      <c r="C1357">
        <f t="shared" si="21"/>
        <v>2.144654165436231</v>
      </c>
    </row>
    <row r="1358" spans="1:3" x14ac:dyDescent="0.15">
      <c r="A1358" s="22">
        <v>43097</v>
      </c>
      <c r="B1358">
        <v>5239.59</v>
      </c>
      <c r="C1358">
        <f t="shared" si="21"/>
        <v>2.1489935032975689</v>
      </c>
    </row>
    <row r="1359" spans="1:3" x14ac:dyDescent="0.15">
      <c r="A1359" s="22">
        <v>43098</v>
      </c>
      <c r="B1359">
        <v>5212.76</v>
      </c>
      <c r="C1359">
        <f t="shared" si="21"/>
        <v>2.1379893034091286</v>
      </c>
    </row>
    <row r="1360" spans="1:3" x14ac:dyDescent="0.15">
      <c r="A1360" s="22">
        <v>43102</v>
      </c>
      <c r="B1360">
        <v>5256.28</v>
      </c>
      <c r="C1360">
        <f t="shared" si="21"/>
        <v>2.1558388292810973</v>
      </c>
    </row>
    <row r="1361" spans="1:3" x14ac:dyDescent="0.15">
      <c r="A1361" s="22">
        <v>43103</v>
      </c>
      <c r="B1361">
        <v>5289.92</v>
      </c>
      <c r="C1361">
        <f t="shared" si="21"/>
        <v>2.1696361190405882</v>
      </c>
    </row>
    <row r="1362" spans="1:3" x14ac:dyDescent="0.15">
      <c r="A1362" s="22">
        <v>43104</v>
      </c>
      <c r="B1362">
        <v>5312.33</v>
      </c>
      <c r="C1362">
        <f t="shared" si="21"/>
        <v>2.1788274764576565</v>
      </c>
    </row>
    <row r="1363" spans="1:3" x14ac:dyDescent="0.15">
      <c r="A1363" s="22">
        <v>43105</v>
      </c>
      <c r="B1363">
        <v>5349.69</v>
      </c>
      <c r="C1363">
        <f t="shared" si="21"/>
        <v>2.1941505069396592</v>
      </c>
    </row>
    <row r="1364" spans="1:3" x14ac:dyDescent="0.15">
      <c r="A1364" s="22">
        <v>43108</v>
      </c>
      <c r="B1364">
        <v>5358.68</v>
      </c>
      <c r="C1364">
        <f t="shared" si="21"/>
        <v>2.1978377136857303</v>
      </c>
    </row>
    <row r="1365" spans="1:3" x14ac:dyDescent="0.15">
      <c r="A1365" s="22">
        <v>43109</v>
      </c>
      <c r="B1365">
        <v>5367.26</v>
      </c>
      <c r="C1365">
        <f t="shared" si="21"/>
        <v>2.2013567608360405</v>
      </c>
    </row>
    <row r="1366" spans="1:3" x14ac:dyDescent="0.15">
      <c r="A1366" s="22">
        <v>43110</v>
      </c>
      <c r="B1366">
        <v>5361.33</v>
      </c>
      <c r="C1366">
        <f t="shared" si="21"/>
        <v>2.1989245988778423</v>
      </c>
    </row>
    <row r="1367" spans="1:3" x14ac:dyDescent="0.15">
      <c r="A1367" s="22">
        <v>43111</v>
      </c>
      <c r="B1367">
        <v>5399.46</v>
      </c>
      <c r="C1367">
        <f t="shared" si="21"/>
        <v>2.2145634412835911</v>
      </c>
    </row>
    <row r="1368" spans="1:3" x14ac:dyDescent="0.15">
      <c r="A1368" s="22">
        <v>43112</v>
      </c>
      <c r="B1368">
        <v>5435.92</v>
      </c>
      <c r="C1368">
        <f t="shared" si="21"/>
        <v>2.2295173409456313</v>
      </c>
    </row>
    <row r="1369" spans="1:3" x14ac:dyDescent="0.15">
      <c r="A1369" s="22">
        <v>43116</v>
      </c>
      <c r="B1369">
        <v>5416.86</v>
      </c>
      <c r="C1369">
        <f t="shared" si="21"/>
        <v>2.2216999704695346</v>
      </c>
    </row>
    <row r="1370" spans="1:3" x14ac:dyDescent="0.15">
      <c r="A1370" s="22">
        <v>43117</v>
      </c>
      <c r="B1370">
        <v>5467.85</v>
      </c>
      <c r="C1370">
        <f t="shared" si="21"/>
        <v>2.2426132821471931</v>
      </c>
    </row>
    <row r="1371" spans="1:3" x14ac:dyDescent="0.15">
      <c r="A1371" s="22">
        <v>43118</v>
      </c>
      <c r="B1371">
        <v>5459.5</v>
      </c>
      <c r="C1371">
        <f t="shared" si="21"/>
        <v>2.2391885684286512</v>
      </c>
    </row>
    <row r="1372" spans="1:3" x14ac:dyDescent="0.15">
      <c r="A1372" s="22">
        <v>43119</v>
      </c>
      <c r="B1372">
        <v>5483.57</v>
      </c>
      <c r="C1372">
        <f t="shared" si="21"/>
        <v>2.2490607671358731</v>
      </c>
    </row>
    <row r="1373" spans="1:3" x14ac:dyDescent="0.15">
      <c r="A1373" s="22">
        <v>43122</v>
      </c>
      <c r="B1373">
        <v>5527.89</v>
      </c>
      <c r="C1373">
        <f t="shared" si="21"/>
        <v>2.2672384092922533</v>
      </c>
    </row>
    <row r="1374" spans="1:3" x14ac:dyDescent="0.15">
      <c r="A1374" s="22">
        <v>43123</v>
      </c>
      <c r="B1374">
        <v>5540.13</v>
      </c>
      <c r="C1374">
        <f t="shared" si="21"/>
        <v>2.2722585884437447</v>
      </c>
    </row>
    <row r="1375" spans="1:3" x14ac:dyDescent="0.15">
      <c r="A1375" s="22">
        <v>43124</v>
      </c>
      <c r="B1375">
        <v>5537.03</v>
      </c>
      <c r="C1375">
        <f t="shared" si="21"/>
        <v>2.2709871378416513</v>
      </c>
    </row>
    <row r="1376" spans="1:3" x14ac:dyDescent="0.15">
      <c r="A1376" s="22">
        <v>43125</v>
      </c>
      <c r="B1376">
        <v>5540.38</v>
      </c>
      <c r="C1376">
        <f t="shared" si="21"/>
        <v>2.272361124782623</v>
      </c>
    </row>
    <row r="1377" spans="1:3" x14ac:dyDescent="0.15">
      <c r="A1377" s="22">
        <v>43126</v>
      </c>
      <c r="B1377">
        <v>5606.08</v>
      </c>
      <c r="C1377">
        <f t="shared" si="21"/>
        <v>2.2993076746398926</v>
      </c>
    </row>
    <row r="1378" spans="1:3" x14ac:dyDescent="0.15">
      <c r="A1378" s="22">
        <v>43129</v>
      </c>
      <c r="B1378">
        <v>5568.67</v>
      </c>
      <c r="C1378">
        <f t="shared" si="21"/>
        <v>2.283964136890114</v>
      </c>
    </row>
    <row r="1379" spans="1:3" x14ac:dyDescent="0.15">
      <c r="A1379" s="22">
        <v>43130</v>
      </c>
      <c r="B1379">
        <v>5508.36</v>
      </c>
      <c r="C1379">
        <f t="shared" si="21"/>
        <v>2.2592282704990647</v>
      </c>
    </row>
    <row r="1380" spans="1:3" x14ac:dyDescent="0.15">
      <c r="A1380" s="22">
        <v>43131</v>
      </c>
      <c r="B1380">
        <v>5511.21</v>
      </c>
      <c r="C1380">
        <f t="shared" si="21"/>
        <v>2.2603971847622799</v>
      </c>
    </row>
    <row r="1381" spans="1:3" x14ac:dyDescent="0.15">
      <c r="A1381" s="22">
        <v>43132</v>
      </c>
      <c r="B1381">
        <v>5508.7</v>
      </c>
      <c r="C1381">
        <f t="shared" si="21"/>
        <v>2.2593677199199398</v>
      </c>
    </row>
    <row r="1382" spans="1:3" x14ac:dyDescent="0.15">
      <c r="A1382" s="22">
        <v>43133</v>
      </c>
      <c r="B1382">
        <v>5392.21</v>
      </c>
      <c r="C1382">
        <f t="shared" si="21"/>
        <v>2.2115898874561144</v>
      </c>
    </row>
    <row r="1383" spans="1:3" x14ac:dyDescent="0.15">
      <c r="A1383" s="22">
        <v>43136</v>
      </c>
      <c r="B1383">
        <v>5171.26</v>
      </c>
      <c r="C1383">
        <f t="shared" si="21"/>
        <v>2.1209682711552977</v>
      </c>
    </row>
    <row r="1384" spans="1:3" x14ac:dyDescent="0.15">
      <c r="A1384" s="22">
        <v>43137</v>
      </c>
      <c r="B1384">
        <v>5262.02</v>
      </c>
      <c r="C1384">
        <f t="shared" si="21"/>
        <v>2.1581930636217477</v>
      </c>
    </row>
    <row r="1385" spans="1:3" x14ac:dyDescent="0.15">
      <c r="A1385" s="22">
        <v>43138</v>
      </c>
      <c r="B1385">
        <v>5235.84</v>
      </c>
      <c r="C1385">
        <f t="shared" si="21"/>
        <v>2.1474554582143912</v>
      </c>
    </row>
    <row r="1386" spans="1:3" x14ac:dyDescent="0.15">
      <c r="A1386" s="22">
        <v>43139</v>
      </c>
      <c r="B1386">
        <v>5040.0600000000004</v>
      </c>
      <c r="C1386">
        <f t="shared" si="21"/>
        <v>2.0671572005118617</v>
      </c>
    </row>
    <row r="1387" spans="1:3" x14ac:dyDescent="0.15">
      <c r="A1387" s="22">
        <v>43140</v>
      </c>
      <c r="B1387">
        <v>5116.99</v>
      </c>
      <c r="C1387">
        <f t="shared" si="21"/>
        <v>2.098709682711553</v>
      </c>
    </row>
    <row r="1388" spans="1:3" x14ac:dyDescent="0.15">
      <c r="A1388" s="22">
        <v>43143</v>
      </c>
      <c r="B1388">
        <v>5188.37</v>
      </c>
      <c r="C1388">
        <f t="shared" si="21"/>
        <v>2.1279858581881421</v>
      </c>
    </row>
    <row r="1389" spans="1:3" x14ac:dyDescent="0.15">
      <c r="A1389" s="22">
        <v>43144</v>
      </c>
      <c r="B1389">
        <v>5202.22</v>
      </c>
      <c r="C1389">
        <f t="shared" si="21"/>
        <v>2.1336663713620108</v>
      </c>
    </row>
    <row r="1390" spans="1:3" x14ac:dyDescent="0.15">
      <c r="A1390" s="22">
        <v>43145</v>
      </c>
      <c r="B1390">
        <v>5273.43</v>
      </c>
      <c r="C1390">
        <f t="shared" si="21"/>
        <v>2.1628728221281626</v>
      </c>
    </row>
    <row r="1391" spans="1:3" x14ac:dyDescent="0.15">
      <c r="A1391" s="22">
        <v>43146</v>
      </c>
      <c r="B1391">
        <v>5338.35</v>
      </c>
      <c r="C1391">
        <f t="shared" si="21"/>
        <v>2.1894994586081311</v>
      </c>
    </row>
    <row r="1392" spans="1:3" x14ac:dyDescent="0.15">
      <c r="A1392" s="22">
        <v>43147</v>
      </c>
      <c r="B1392">
        <v>5340.82</v>
      </c>
      <c r="C1392">
        <f t="shared" si="21"/>
        <v>2.1905125176362503</v>
      </c>
    </row>
    <row r="1393" spans="1:3" x14ac:dyDescent="0.15">
      <c r="A1393" s="22">
        <v>43151</v>
      </c>
      <c r="B1393">
        <v>5309.99</v>
      </c>
      <c r="C1393">
        <f t="shared" si="21"/>
        <v>2.1778677363257537</v>
      </c>
    </row>
    <row r="1394" spans="1:3" x14ac:dyDescent="0.15">
      <c r="A1394" s="22">
        <v>43152</v>
      </c>
      <c r="B1394">
        <v>5280.91</v>
      </c>
      <c r="C1394">
        <f t="shared" si="21"/>
        <v>2.165940709387407</v>
      </c>
    </row>
    <row r="1395" spans="1:3" x14ac:dyDescent="0.15">
      <c r="A1395" s="22">
        <v>43153</v>
      </c>
      <c r="B1395">
        <v>5286.5</v>
      </c>
      <c r="C1395">
        <f t="shared" si="21"/>
        <v>2.1682334219247301</v>
      </c>
    </row>
    <row r="1396" spans="1:3" x14ac:dyDescent="0.15">
      <c r="A1396" s="22">
        <v>43154</v>
      </c>
      <c r="B1396">
        <v>5371.56</v>
      </c>
      <c r="C1396">
        <f t="shared" si="21"/>
        <v>2.2031203858647506</v>
      </c>
    </row>
    <row r="1397" spans="1:3" x14ac:dyDescent="0.15">
      <c r="A1397" s="22">
        <v>43157</v>
      </c>
      <c r="B1397">
        <v>5435.38</v>
      </c>
      <c r="C1397">
        <f t="shared" si="21"/>
        <v>2.2292958624536539</v>
      </c>
    </row>
    <row r="1398" spans="1:3" x14ac:dyDescent="0.15">
      <c r="A1398" s="22">
        <v>43158</v>
      </c>
      <c r="B1398">
        <v>5367.09</v>
      </c>
      <c r="C1398">
        <f t="shared" si="21"/>
        <v>2.2012870361256032</v>
      </c>
    </row>
    <row r="1399" spans="1:3" x14ac:dyDescent="0.15">
      <c r="A1399" s="22">
        <v>43159</v>
      </c>
      <c r="B1399">
        <v>5308.09</v>
      </c>
      <c r="C1399">
        <f t="shared" si="21"/>
        <v>2.1770884601502773</v>
      </c>
    </row>
    <row r="1400" spans="1:3" x14ac:dyDescent="0.15">
      <c r="A1400" s="22">
        <v>43160</v>
      </c>
      <c r="B1400">
        <v>5238.18</v>
      </c>
      <c r="C1400">
        <f t="shared" si="21"/>
        <v>2.148415198346294</v>
      </c>
    </row>
    <row r="1401" spans="1:3" x14ac:dyDescent="0.15">
      <c r="A1401" s="22">
        <v>43161</v>
      </c>
      <c r="B1401">
        <v>5265.24</v>
      </c>
      <c r="C1401">
        <f t="shared" si="21"/>
        <v>2.1595137316665025</v>
      </c>
    </row>
    <row r="1402" spans="1:3" x14ac:dyDescent="0.15">
      <c r="A1402" s="22">
        <v>43164</v>
      </c>
      <c r="B1402">
        <v>5323.36</v>
      </c>
      <c r="C1402">
        <f t="shared" si="21"/>
        <v>2.1833513797289759</v>
      </c>
    </row>
    <row r="1403" spans="1:3" x14ac:dyDescent="0.15">
      <c r="A1403" s="22">
        <v>43165</v>
      </c>
      <c r="B1403">
        <v>5337.69</v>
      </c>
      <c r="C1403">
        <f t="shared" si="21"/>
        <v>2.1892287626734914</v>
      </c>
    </row>
    <row r="1404" spans="1:3" x14ac:dyDescent="0.15">
      <c r="A1404" s="22">
        <v>43166</v>
      </c>
      <c r="B1404">
        <v>5335.47</v>
      </c>
      <c r="C1404">
        <f t="shared" si="21"/>
        <v>2.1883182399842505</v>
      </c>
    </row>
    <row r="1405" spans="1:3" x14ac:dyDescent="0.15">
      <c r="A1405" s="22">
        <v>43167</v>
      </c>
      <c r="B1405">
        <v>5360.73</v>
      </c>
      <c r="C1405">
        <f t="shared" si="21"/>
        <v>2.198678511664534</v>
      </c>
    </row>
    <row r="1406" spans="1:3" x14ac:dyDescent="0.15">
      <c r="A1406" s="22">
        <v>43168</v>
      </c>
      <c r="B1406">
        <v>5454.03</v>
      </c>
      <c r="C1406">
        <f t="shared" si="21"/>
        <v>2.2369450733339895</v>
      </c>
    </row>
    <row r="1407" spans="1:3" x14ac:dyDescent="0.15">
      <c r="A1407" s="22">
        <v>43171</v>
      </c>
      <c r="B1407">
        <v>5447.1</v>
      </c>
      <c r="C1407">
        <f t="shared" si="21"/>
        <v>2.2341027660202779</v>
      </c>
    </row>
    <row r="1408" spans="1:3" x14ac:dyDescent="0.15">
      <c r="A1408" s="22">
        <v>43172</v>
      </c>
      <c r="B1408">
        <v>5412.75</v>
      </c>
      <c r="C1408">
        <f t="shared" si="21"/>
        <v>2.2200142730583718</v>
      </c>
    </row>
    <row r="1409" spans="1:3" x14ac:dyDescent="0.15">
      <c r="A1409" s="22">
        <v>43173</v>
      </c>
      <c r="B1409">
        <v>5383.27</v>
      </c>
      <c r="C1409">
        <f t="shared" si="21"/>
        <v>2.2079231879778196</v>
      </c>
    </row>
    <row r="1410" spans="1:3" x14ac:dyDescent="0.15">
      <c r="A1410" s="22">
        <v>43174</v>
      </c>
      <c r="B1410">
        <v>5379.39</v>
      </c>
      <c r="C1410">
        <f t="shared" ref="C1410:C1473" si="22">(B1410 / $B$2)</f>
        <v>2.2063318239984251</v>
      </c>
    </row>
    <row r="1411" spans="1:3" x14ac:dyDescent="0.15">
      <c r="A1411" s="22">
        <v>43175</v>
      </c>
      <c r="B1411">
        <v>5388.74</v>
      </c>
      <c r="C1411">
        <f t="shared" si="22"/>
        <v>2.2101666830724809</v>
      </c>
    </row>
    <row r="1412" spans="1:3" x14ac:dyDescent="0.15">
      <c r="A1412" s="22">
        <v>43178</v>
      </c>
      <c r="B1412">
        <v>5312.23</v>
      </c>
      <c r="C1412">
        <f t="shared" si="22"/>
        <v>2.1787864619221051</v>
      </c>
    </row>
    <row r="1413" spans="1:3" x14ac:dyDescent="0.15">
      <c r="A1413" s="22">
        <v>43179</v>
      </c>
      <c r="B1413">
        <v>5320.2</v>
      </c>
      <c r="C1413">
        <f t="shared" si="22"/>
        <v>2.1820553204055519</v>
      </c>
    </row>
    <row r="1414" spans="1:3" x14ac:dyDescent="0.15">
      <c r="A1414" s="22">
        <v>43180</v>
      </c>
      <c r="B1414">
        <v>5310.96</v>
      </c>
      <c r="C1414">
        <f t="shared" si="22"/>
        <v>2.1782655773206026</v>
      </c>
    </row>
    <row r="1415" spans="1:3" x14ac:dyDescent="0.15">
      <c r="A1415" s="22">
        <v>43181</v>
      </c>
      <c r="B1415">
        <v>5177.5200000000004</v>
      </c>
      <c r="C1415">
        <f t="shared" si="22"/>
        <v>2.1235357810808155</v>
      </c>
    </row>
    <row r="1416" spans="1:3" x14ac:dyDescent="0.15">
      <c r="A1416" s="22">
        <v>43182</v>
      </c>
      <c r="B1416">
        <v>5069.03</v>
      </c>
      <c r="C1416">
        <f t="shared" si="22"/>
        <v>2.079039111461102</v>
      </c>
    </row>
    <row r="1417" spans="1:3" x14ac:dyDescent="0.15">
      <c r="A1417" s="22">
        <v>43185</v>
      </c>
      <c r="B1417">
        <v>5206.6899999999996</v>
      </c>
      <c r="C1417">
        <f t="shared" si="22"/>
        <v>2.1354997211011582</v>
      </c>
    </row>
    <row r="1418" spans="1:3" x14ac:dyDescent="0.15">
      <c r="A1418" s="22">
        <v>43186</v>
      </c>
      <c r="B1418">
        <v>5116.75</v>
      </c>
      <c r="C1418">
        <f t="shared" si="22"/>
        <v>2.0986112478262298</v>
      </c>
    </row>
    <row r="1419" spans="1:3" x14ac:dyDescent="0.15">
      <c r="A1419" s="22">
        <v>43187</v>
      </c>
      <c r="B1419">
        <v>5102.6899999999996</v>
      </c>
      <c r="C1419">
        <f t="shared" si="22"/>
        <v>2.0928446041277029</v>
      </c>
    </row>
    <row r="1420" spans="1:3" x14ac:dyDescent="0.15">
      <c r="A1420" s="22">
        <v>43188</v>
      </c>
      <c r="B1420">
        <v>5173.1899999999996</v>
      </c>
      <c r="C1420">
        <f t="shared" si="22"/>
        <v>2.1217598516914395</v>
      </c>
    </row>
    <row r="1421" spans="1:3" x14ac:dyDescent="0.15">
      <c r="A1421" s="22">
        <v>43192</v>
      </c>
      <c r="B1421">
        <v>5057.6899999999996</v>
      </c>
      <c r="C1421">
        <f t="shared" si="22"/>
        <v>2.074388063129573</v>
      </c>
    </row>
    <row r="1422" spans="1:3" x14ac:dyDescent="0.15">
      <c r="A1422" s="22">
        <v>43193</v>
      </c>
      <c r="B1422">
        <v>5121.7</v>
      </c>
      <c r="C1422">
        <f t="shared" si="22"/>
        <v>2.1006414673360241</v>
      </c>
    </row>
    <row r="1423" spans="1:3" x14ac:dyDescent="0.15">
      <c r="A1423" s="22">
        <v>43194</v>
      </c>
      <c r="B1423">
        <v>5181.3100000000004</v>
      </c>
      <c r="C1423">
        <f t="shared" si="22"/>
        <v>2.1250902319782132</v>
      </c>
    </row>
    <row r="1424" spans="1:3" x14ac:dyDescent="0.15">
      <c r="A1424" s="22">
        <v>43195</v>
      </c>
      <c r="B1424">
        <v>5217.62</v>
      </c>
      <c r="C1424">
        <f t="shared" si="22"/>
        <v>2.1399826098369261</v>
      </c>
    </row>
    <row r="1425" spans="1:3" x14ac:dyDescent="0.15">
      <c r="A1425" s="22">
        <v>43196</v>
      </c>
      <c r="B1425">
        <v>5103.3500000000004</v>
      </c>
      <c r="C1425">
        <f t="shared" si="22"/>
        <v>2.0931153000623426</v>
      </c>
    </row>
    <row r="1426" spans="1:3" x14ac:dyDescent="0.15">
      <c r="A1426" s="22">
        <v>43199</v>
      </c>
      <c r="B1426">
        <v>5121.8999999999996</v>
      </c>
      <c r="C1426">
        <f t="shared" si="22"/>
        <v>2.1007234964071269</v>
      </c>
    </row>
    <row r="1427" spans="1:3" x14ac:dyDescent="0.15">
      <c r="A1427" s="22">
        <v>43200</v>
      </c>
      <c r="B1427">
        <v>5207.7299999999996</v>
      </c>
      <c r="C1427">
        <f t="shared" si="22"/>
        <v>2.1359262722708929</v>
      </c>
    </row>
    <row r="1428" spans="1:3" x14ac:dyDescent="0.15">
      <c r="A1428" s="22">
        <v>43201</v>
      </c>
      <c r="B1428">
        <v>5179.1899999999996</v>
      </c>
      <c r="C1428">
        <f t="shared" si="22"/>
        <v>2.1242207238245232</v>
      </c>
    </row>
    <row r="1429" spans="1:3" x14ac:dyDescent="0.15">
      <c r="A1429" s="22">
        <v>43202</v>
      </c>
      <c r="B1429">
        <v>5222.55</v>
      </c>
      <c r="C1429">
        <f t="shared" si="22"/>
        <v>2.1420046264396104</v>
      </c>
    </row>
    <row r="1430" spans="1:3" x14ac:dyDescent="0.15">
      <c r="A1430" s="22">
        <v>43203</v>
      </c>
      <c r="B1430">
        <v>5207.57</v>
      </c>
      <c r="C1430">
        <f t="shared" si="22"/>
        <v>2.1358606490140106</v>
      </c>
    </row>
    <row r="1431" spans="1:3" x14ac:dyDescent="0.15">
      <c r="A1431" s="22">
        <v>43206</v>
      </c>
      <c r="B1431">
        <v>5249.94</v>
      </c>
      <c r="C1431">
        <f t="shared" si="22"/>
        <v>2.1532385077271385</v>
      </c>
    </row>
    <row r="1432" spans="1:3" x14ac:dyDescent="0.15">
      <c r="A1432" s="22">
        <v>43207</v>
      </c>
      <c r="B1432">
        <v>5305.9</v>
      </c>
      <c r="C1432">
        <f t="shared" si="22"/>
        <v>2.1761902418217014</v>
      </c>
    </row>
    <row r="1433" spans="1:3" x14ac:dyDescent="0.15">
      <c r="A1433" s="22">
        <v>43208</v>
      </c>
      <c r="B1433">
        <v>5310.32</v>
      </c>
      <c r="C1433">
        <f t="shared" si="22"/>
        <v>2.1780030842930733</v>
      </c>
    </row>
    <row r="1434" spans="1:3" x14ac:dyDescent="0.15">
      <c r="A1434" s="22">
        <v>43209</v>
      </c>
      <c r="B1434">
        <v>5280.57</v>
      </c>
      <c r="C1434">
        <f t="shared" si="22"/>
        <v>2.1658012599665319</v>
      </c>
    </row>
    <row r="1435" spans="1:3" x14ac:dyDescent="0.15">
      <c r="A1435" s="22">
        <v>43210</v>
      </c>
      <c r="B1435">
        <v>5235.75</v>
      </c>
      <c r="C1435">
        <f t="shared" si="22"/>
        <v>2.1474185451323948</v>
      </c>
    </row>
    <row r="1436" spans="1:3" x14ac:dyDescent="0.15">
      <c r="A1436" s="22">
        <v>43213</v>
      </c>
      <c r="B1436">
        <v>5236.04</v>
      </c>
      <c r="C1436">
        <f t="shared" si="22"/>
        <v>2.147537487285494</v>
      </c>
    </row>
    <row r="1437" spans="1:3" x14ac:dyDescent="0.15">
      <c r="A1437" s="22">
        <v>43214</v>
      </c>
      <c r="B1437">
        <v>5166.1000000000004</v>
      </c>
      <c r="C1437">
        <f t="shared" si="22"/>
        <v>2.1188519211208456</v>
      </c>
    </row>
    <row r="1438" spans="1:3" x14ac:dyDescent="0.15">
      <c r="A1438" s="22">
        <v>43215</v>
      </c>
      <c r="B1438">
        <v>5175.59</v>
      </c>
      <c r="C1438">
        <f t="shared" si="22"/>
        <v>2.1227442005446733</v>
      </c>
    </row>
    <row r="1439" spans="1:3" x14ac:dyDescent="0.15">
      <c r="A1439" s="22">
        <v>43216</v>
      </c>
      <c r="B1439">
        <v>5229.6099999999997</v>
      </c>
      <c r="C1439">
        <f t="shared" si="22"/>
        <v>2.1449002526495389</v>
      </c>
    </row>
    <row r="1440" spans="1:3" x14ac:dyDescent="0.15">
      <c r="A1440" s="22">
        <v>43217</v>
      </c>
      <c r="B1440">
        <v>5235.7299999999996</v>
      </c>
      <c r="C1440">
        <f t="shared" si="22"/>
        <v>2.1474103422252844</v>
      </c>
    </row>
    <row r="1441" spans="1:3" x14ac:dyDescent="0.15">
      <c r="A1441" s="22">
        <v>43220</v>
      </c>
      <c r="B1441">
        <v>5193.04</v>
      </c>
      <c r="C1441">
        <f t="shared" si="22"/>
        <v>2.1299012369983923</v>
      </c>
    </row>
    <row r="1442" spans="1:3" x14ac:dyDescent="0.15">
      <c r="A1442" s="22">
        <v>43221</v>
      </c>
      <c r="B1442">
        <v>5206.3100000000004</v>
      </c>
      <c r="C1442">
        <f t="shared" si="22"/>
        <v>2.1353438658660631</v>
      </c>
    </row>
    <row r="1443" spans="1:3" x14ac:dyDescent="0.15">
      <c r="A1443" s="22">
        <v>43222</v>
      </c>
      <c r="B1443">
        <v>5168.79</v>
      </c>
      <c r="C1443">
        <f t="shared" si="22"/>
        <v>2.1199552121271781</v>
      </c>
    </row>
    <row r="1444" spans="1:3" x14ac:dyDescent="0.15">
      <c r="A1444" s="22">
        <v>43223</v>
      </c>
      <c r="B1444">
        <v>5157.7</v>
      </c>
      <c r="C1444">
        <f t="shared" si="22"/>
        <v>2.1154067001345278</v>
      </c>
    </row>
    <row r="1445" spans="1:3" x14ac:dyDescent="0.15">
      <c r="A1445" s="22">
        <v>43224</v>
      </c>
      <c r="B1445">
        <v>5224.71</v>
      </c>
      <c r="C1445">
        <f t="shared" si="22"/>
        <v>2.1428905404075205</v>
      </c>
    </row>
    <row r="1446" spans="1:3" x14ac:dyDescent="0.15">
      <c r="A1446" s="22">
        <v>43227</v>
      </c>
      <c r="B1446">
        <v>5242.87</v>
      </c>
      <c r="C1446">
        <f t="shared" si="22"/>
        <v>2.1503387800636546</v>
      </c>
    </row>
    <row r="1447" spans="1:3" x14ac:dyDescent="0.15">
      <c r="A1447" s="22">
        <v>43228</v>
      </c>
      <c r="B1447">
        <v>5241.53</v>
      </c>
      <c r="C1447">
        <f t="shared" si="22"/>
        <v>2.1497891852872657</v>
      </c>
    </row>
    <row r="1448" spans="1:3" x14ac:dyDescent="0.15">
      <c r="A1448" s="22">
        <v>43229</v>
      </c>
      <c r="B1448">
        <v>5292.9</v>
      </c>
      <c r="C1448">
        <f t="shared" si="22"/>
        <v>2.1708583522000198</v>
      </c>
    </row>
    <row r="1449" spans="1:3" x14ac:dyDescent="0.15">
      <c r="A1449" s="22">
        <v>43230</v>
      </c>
      <c r="B1449">
        <v>5343.7</v>
      </c>
      <c r="C1449">
        <f t="shared" si="22"/>
        <v>2.1916937362601305</v>
      </c>
    </row>
    <row r="1450" spans="1:3" x14ac:dyDescent="0.15">
      <c r="A1450" s="22">
        <v>43231</v>
      </c>
      <c r="B1450">
        <v>5354.69</v>
      </c>
      <c r="C1450">
        <f t="shared" si="22"/>
        <v>2.1962012337172294</v>
      </c>
    </row>
    <row r="1451" spans="1:3" x14ac:dyDescent="0.15">
      <c r="A1451" s="22">
        <v>43234</v>
      </c>
      <c r="B1451">
        <v>5359.66</v>
      </c>
      <c r="C1451">
        <f t="shared" si="22"/>
        <v>2.1982396561341342</v>
      </c>
    </row>
    <row r="1452" spans="1:3" x14ac:dyDescent="0.15">
      <c r="A1452" s="22">
        <v>43235</v>
      </c>
      <c r="B1452">
        <v>5323.23</v>
      </c>
      <c r="C1452">
        <f t="shared" si="22"/>
        <v>2.183298060832759</v>
      </c>
    </row>
    <row r="1453" spans="1:3" x14ac:dyDescent="0.15">
      <c r="A1453" s="22">
        <v>43236</v>
      </c>
      <c r="B1453">
        <v>5346.33</v>
      </c>
      <c r="C1453">
        <f t="shared" si="22"/>
        <v>2.1927724185451325</v>
      </c>
    </row>
    <row r="1454" spans="1:3" x14ac:dyDescent="0.15">
      <c r="A1454" s="22">
        <v>43237</v>
      </c>
      <c r="B1454">
        <v>5343.29</v>
      </c>
      <c r="C1454">
        <f t="shared" si="22"/>
        <v>2.19152557666437</v>
      </c>
    </row>
    <row r="1455" spans="1:3" x14ac:dyDescent="0.15">
      <c r="A1455" s="22">
        <v>43238</v>
      </c>
      <c r="B1455">
        <v>5329.66</v>
      </c>
      <c r="C1455">
        <f t="shared" si="22"/>
        <v>2.1859352954687141</v>
      </c>
    </row>
    <row r="1456" spans="1:3" x14ac:dyDescent="0.15">
      <c r="A1456" s="22">
        <v>43241</v>
      </c>
      <c r="B1456">
        <v>5369.19</v>
      </c>
      <c r="C1456">
        <f t="shared" si="22"/>
        <v>2.2021483413721823</v>
      </c>
    </row>
    <row r="1457" spans="1:3" x14ac:dyDescent="0.15">
      <c r="A1457" s="22">
        <v>43242</v>
      </c>
      <c r="B1457">
        <v>5352.45</v>
      </c>
      <c r="C1457">
        <f t="shared" si="22"/>
        <v>2.195282508120878</v>
      </c>
    </row>
    <row r="1458" spans="1:3" x14ac:dyDescent="0.15">
      <c r="A1458" s="22">
        <v>43243</v>
      </c>
      <c r="B1458">
        <v>5369.99</v>
      </c>
      <c r="C1458">
        <f t="shared" si="22"/>
        <v>2.2024764576565934</v>
      </c>
    </row>
    <row r="1459" spans="1:3" x14ac:dyDescent="0.15">
      <c r="A1459" s="22">
        <v>43244</v>
      </c>
      <c r="B1459">
        <v>5359.32</v>
      </c>
      <c r="C1459">
        <f t="shared" si="22"/>
        <v>2.1981002067132591</v>
      </c>
    </row>
    <row r="1460" spans="1:3" x14ac:dyDescent="0.15">
      <c r="A1460" s="22">
        <v>43245</v>
      </c>
      <c r="B1460">
        <v>5347.31</v>
      </c>
      <c r="C1460">
        <f t="shared" si="22"/>
        <v>2.1931743609935364</v>
      </c>
    </row>
    <row r="1461" spans="1:3" x14ac:dyDescent="0.15">
      <c r="A1461" s="22">
        <v>43249</v>
      </c>
      <c r="B1461">
        <v>5285.7</v>
      </c>
      <c r="C1461">
        <f t="shared" si="22"/>
        <v>2.167905305640319</v>
      </c>
    </row>
    <row r="1462" spans="1:3" x14ac:dyDescent="0.15">
      <c r="A1462" s="22">
        <v>43250</v>
      </c>
      <c r="B1462">
        <v>5353.76</v>
      </c>
      <c r="C1462">
        <f t="shared" si="22"/>
        <v>2.1958197985366015</v>
      </c>
    </row>
    <row r="1463" spans="1:3" x14ac:dyDescent="0.15">
      <c r="A1463" s="22">
        <v>43251</v>
      </c>
      <c r="B1463">
        <v>5318.1</v>
      </c>
      <c r="C1463">
        <f t="shared" si="22"/>
        <v>2.1811940151589728</v>
      </c>
    </row>
    <row r="1464" spans="1:3" x14ac:dyDescent="0.15">
      <c r="A1464" s="22">
        <v>43252</v>
      </c>
      <c r="B1464">
        <v>5376.29</v>
      </c>
      <c r="C1464">
        <f t="shared" si="22"/>
        <v>2.2050603733963317</v>
      </c>
    </row>
    <row r="1465" spans="1:3" x14ac:dyDescent="0.15">
      <c r="A1465" s="22">
        <v>43255</v>
      </c>
      <c r="B1465">
        <v>5400.5</v>
      </c>
      <c r="C1465">
        <f t="shared" si="22"/>
        <v>2.2149899924533254</v>
      </c>
    </row>
    <row r="1466" spans="1:3" x14ac:dyDescent="0.15">
      <c r="A1466" s="22">
        <v>43256</v>
      </c>
      <c r="B1466">
        <v>5404.62</v>
      </c>
      <c r="C1466">
        <f t="shared" si="22"/>
        <v>2.2166797913180432</v>
      </c>
    </row>
    <row r="1467" spans="1:3" x14ac:dyDescent="0.15">
      <c r="A1467" s="22">
        <v>43257</v>
      </c>
      <c r="B1467">
        <v>5451.09</v>
      </c>
      <c r="C1467">
        <f t="shared" si="22"/>
        <v>2.2357392459887788</v>
      </c>
    </row>
    <row r="1468" spans="1:3" x14ac:dyDescent="0.15">
      <c r="A1468" s="22">
        <v>43258</v>
      </c>
      <c r="B1468">
        <v>5448.18</v>
      </c>
      <c r="C1468">
        <f t="shared" si="22"/>
        <v>2.2345457230042332</v>
      </c>
    </row>
    <row r="1469" spans="1:3" x14ac:dyDescent="0.15">
      <c r="A1469" s="22">
        <v>43259</v>
      </c>
      <c r="B1469">
        <v>5465.42</v>
      </c>
      <c r="C1469">
        <f t="shared" si="22"/>
        <v>2.2416166289332939</v>
      </c>
    </row>
    <row r="1470" spans="1:3" x14ac:dyDescent="0.15">
      <c r="A1470" s="22">
        <v>43262</v>
      </c>
      <c r="B1470">
        <v>5471.29</v>
      </c>
      <c r="C1470">
        <f t="shared" si="22"/>
        <v>2.2440241821701612</v>
      </c>
    </row>
    <row r="1471" spans="1:3" x14ac:dyDescent="0.15">
      <c r="A1471" s="22">
        <v>43263</v>
      </c>
      <c r="B1471">
        <v>5481.07</v>
      </c>
      <c r="C1471">
        <f t="shared" si="22"/>
        <v>2.248035403747088</v>
      </c>
    </row>
    <row r="1472" spans="1:3" x14ac:dyDescent="0.15">
      <c r="A1472" s="22">
        <v>43264</v>
      </c>
      <c r="B1472">
        <v>5459.21</v>
      </c>
      <c r="C1472">
        <f t="shared" si="22"/>
        <v>2.2390696262755521</v>
      </c>
    </row>
    <row r="1473" spans="1:3" x14ac:dyDescent="0.15">
      <c r="A1473" s="22">
        <v>43265</v>
      </c>
      <c r="B1473">
        <v>5474.37</v>
      </c>
      <c r="C1473">
        <f t="shared" si="22"/>
        <v>2.2452874298651442</v>
      </c>
    </row>
    <row r="1474" spans="1:3" x14ac:dyDescent="0.15">
      <c r="A1474" s="22">
        <v>43266</v>
      </c>
      <c r="B1474">
        <v>5469.37</v>
      </c>
      <c r="C1474">
        <f t="shared" ref="C1474:C1537" si="23">(B1474 / $B$2)</f>
        <v>2.2432367030875744</v>
      </c>
    </row>
    <row r="1475" spans="1:3" x14ac:dyDescent="0.15">
      <c r="A1475" s="22">
        <v>43269</v>
      </c>
      <c r="B1475">
        <v>5457.83</v>
      </c>
      <c r="C1475">
        <f t="shared" si="23"/>
        <v>2.2385036256849427</v>
      </c>
    </row>
    <row r="1476" spans="1:3" x14ac:dyDescent="0.15">
      <c r="A1476" s="22">
        <v>43270</v>
      </c>
      <c r="B1476">
        <v>5436.13</v>
      </c>
      <c r="C1476">
        <f t="shared" si="23"/>
        <v>2.229603471470289</v>
      </c>
    </row>
    <row r="1477" spans="1:3" x14ac:dyDescent="0.15">
      <c r="A1477" s="22">
        <v>43271</v>
      </c>
      <c r="B1477">
        <v>5445.43</v>
      </c>
      <c r="C1477">
        <f t="shared" si="23"/>
        <v>2.2334178232765693</v>
      </c>
    </row>
    <row r="1478" spans="1:3" x14ac:dyDescent="0.15">
      <c r="A1478" s="22">
        <v>43272</v>
      </c>
      <c r="B1478">
        <v>5411.4</v>
      </c>
      <c r="C1478">
        <f t="shared" si="23"/>
        <v>2.2194605768284279</v>
      </c>
    </row>
    <row r="1479" spans="1:3" x14ac:dyDescent="0.15">
      <c r="A1479" s="22">
        <v>43273</v>
      </c>
      <c r="B1479">
        <v>5421.63</v>
      </c>
      <c r="C1479">
        <f t="shared" si="23"/>
        <v>2.2236563638153362</v>
      </c>
    </row>
    <row r="1480" spans="1:3" x14ac:dyDescent="0.15">
      <c r="A1480" s="22">
        <v>43276</v>
      </c>
      <c r="B1480">
        <v>5347.23</v>
      </c>
      <c r="C1480">
        <f t="shared" si="23"/>
        <v>2.193141549365095</v>
      </c>
    </row>
    <row r="1481" spans="1:3" x14ac:dyDescent="0.15">
      <c r="A1481" s="22">
        <v>43277</v>
      </c>
      <c r="B1481">
        <v>5359.01</v>
      </c>
      <c r="C1481">
        <f t="shared" si="23"/>
        <v>2.19797306165305</v>
      </c>
    </row>
    <row r="1482" spans="1:3" x14ac:dyDescent="0.15">
      <c r="A1482" s="22">
        <v>43278</v>
      </c>
      <c r="B1482">
        <v>5312.89</v>
      </c>
      <c r="C1482">
        <f t="shared" si="23"/>
        <v>2.1790571578567448</v>
      </c>
    </row>
    <row r="1483" spans="1:3" x14ac:dyDescent="0.15">
      <c r="A1483" s="22">
        <v>43279</v>
      </c>
      <c r="B1483">
        <v>5346.44</v>
      </c>
      <c r="C1483">
        <f t="shared" si="23"/>
        <v>2.1928175345342389</v>
      </c>
    </row>
    <row r="1484" spans="1:3" x14ac:dyDescent="0.15">
      <c r="A1484" s="22">
        <v>43280</v>
      </c>
      <c r="B1484">
        <v>5350.83</v>
      </c>
      <c r="C1484">
        <f t="shared" si="23"/>
        <v>2.1946180726449454</v>
      </c>
    </row>
    <row r="1485" spans="1:3" x14ac:dyDescent="0.15">
      <c r="A1485" s="22">
        <v>43283</v>
      </c>
      <c r="B1485">
        <v>5367.49</v>
      </c>
      <c r="C1485">
        <f t="shared" si="23"/>
        <v>2.2014510942678087</v>
      </c>
    </row>
    <row r="1486" spans="1:3" x14ac:dyDescent="0.15">
      <c r="A1486" s="22">
        <v>43284</v>
      </c>
      <c r="B1486">
        <v>5340.93</v>
      </c>
      <c r="C1486">
        <f t="shared" si="23"/>
        <v>2.1905576336253572</v>
      </c>
    </row>
    <row r="1487" spans="1:3" x14ac:dyDescent="0.15">
      <c r="A1487" s="22">
        <v>43286</v>
      </c>
      <c r="B1487">
        <v>5388.28</v>
      </c>
      <c r="C1487">
        <f t="shared" si="23"/>
        <v>2.2099780162089444</v>
      </c>
    </row>
    <row r="1488" spans="1:3" x14ac:dyDescent="0.15">
      <c r="A1488" s="22">
        <v>43287</v>
      </c>
      <c r="B1488">
        <v>5434.36</v>
      </c>
      <c r="C1488">
        <f t="shared" si="23"/>
        <v>2.2288775141910291</v>
      </c>
    </row>
    <row r="1489" spans="1:3" x14ac:dyDescent="0.15">
      <c r="A1489" s="22">
        <v>43290</v>
      </c>
      <c r="B1489">
        <v>5483.89</v>
      </c>
      <c r="C1489">
        <f t="shared" si="23"/>
        <v>2.2491920136496377</v>
      </c>
    </row>
    <row r="1490" spans="1:3" x14ac:dyDescent="0.15">
      <c r="A1490" s="22">
        <v>43291</v>
      </c>
      <c r="B1490">
        <v>5503.05</v>
      </c>
      <c r="C1490">
        <f t="shared" si="23"/>
        <v>2.2570503986612858</v>
      </c>
    </row>
    <row r="1491" spans="1:3" x14ac:dyDescent="0.15">
      <c r="A1491" s="22">
        <v>43292</v>
      </c>
      <c r="B1491">
        <v>5464.01</v>
      </c>
      <c r="C1491">
        <f t="shared" si="23"/>
        <v>2.2410383239820195</v>
      </c>
    </row>
    <row r="1492" spans="1:3" x14ac:dyDescent="0.15">
      <c r="A1492" s="22">
        <v>43293</v>
      </c>
      <c r="B1492">
        <v>5512.36</v>
      </c>
      <c r="C1492">
        <f t="shared" si="23"/>
        <v>2.2608688519211206</v>
      </c>
    </row>
    <row r="1493" spans="1:3" x14ac:dyDescent="0.15">
      <c r="A1493" s="22">
        <v>43294</v>
      </c>
      <c r="B1493">
        <v>5518.33</v>
      </c>
      <c r="C1493">
        <f t="shared" si="23"/>
        <v>2.2633174196935393</v>
      </c>
    </row>
    <row r="1494" spans="1:3" x14ac:dyDescent="0.15">
      <c r="A1494" s="22">
        <v>43297</v>
      </c>
      <c r="B1494">
        <v>5512.92</v>
      </c>
      <c r="C1494">
        <f t="shared" si="23"/>
        <v>2.2610985333202089</v>
      </c>
    </row>
    <row r="1495" spans="1:3" x14ac:dyDescent="0.15">
      <c r="A1495" s="22">
        <v>43298</v>
      </c>
      <c r="B1495">
        <v>5534.91</v>
      </c>
      <c r="C1495">
        <f t="shared" si="23"/>
        <v>2.2701176296879613</v>
      </c>
    </row>
    <row r="1496" spans="1:3" x14ac:dyDescent="0.15">
      <c r="A1496" s="22">
        <v>43299</v>
      </c>
      <c r="B1496">
        <v>5546.86</v>
      </c>
      <c r="C1496">
        <f t="shared" si="23"/>
        <v>2.2750188666863536</v>
      </c>
    </row>
    <row r="1497" spans="1:3" x14ac:dyDescent="0.15">
      <c r="A1497" s="22">
        <v>43300</v>
      </c>
      <c r="B1497">
        <v>5525.51</v>
      </c>
      <c r="C1497">
        <f t="shared" si="23"/>
        <v>2.26626226334613</v>
      </c>
    </row>
    <row r="1498" spans="1:3" x14ac:dyDescent="0.15">
      <c r="A1498" s="22">
        <v>43301</v>
      </c>
      <c r="B1498">
        <v>5520.5</v>
      </c>
      <c r="C1498">
        <f t="shared" si="23"/>
        <v>2.2642074351150048</v>
      </c>
    </row>
    <row r="1499" spans="1:3" x14ac:dyDescent="0.15">
      <c r="A1499" s="22">
        <v>43304</v>
      </c>
      <c r="B1499">
        <v>5530.66</v>
      </c>
      <c r="C1499">
        <f t="shared" si="23"/>
        <v>2.2683745119270271</v>
      </c>
    </row>
    <row r="1500" spans="1:3" x14ac:dyDescent="0.15">
      <c r="A1500" s="22">
        <v>43305</v>
      </c>
      <c r="B1500">
        <v>5557.37</v>
      </c>
      <c r="C1500">
        <f t="shared" si="23"/>
        <v>2.279329494372806</v>
      </c>
    </row>
    <row r="1501" spans="1:3" x14ac:dyDescent="0.15">
      <c r="A1501" s="22">
        <v>43306</v>
      </c>
      <c r="B1501">
        <v>5607.99</v>
      </c>
      <c r="C1501">
        <f t="shared" si="23"/>
        <v>2.300091052268924</v>
      </c>
    </row>
    <row r="1502" spans="1:3" x14ac:dyDescent="0.15">
      <c r="A1502" s="22">
        <v>43307</v>
      </c>
      <c r="B1502">
        <v>5590.99</v>
      </c>
      <c r="C1502">
        <f t="shared" si="23"/>
        <v>2.2931185812251864</v>
      </c>
    </row>
    <row r="1503" spans="1:3" x14ac:dyDescent="0.15">
      <c r="A1503" s="22">
        <v>43308</v>
      </c>
      <c r="B1503">
        <v>5554.31</v>
      </c>
      <c r="C1503">
        <f t="shared" si="23"/>
        <v>2.278074449584933</v>
      </c>
    </row>
    <row r="1504" spans="1:3" x14ac:dyDescent="0.15">
      <c r="A1504" s="22">
        <v>43311</v>
      </c>
      <c r="B1504">
        <v>5522.81</v>
      </c>
      <c r="C1504">
        <f t="shared" si="23"/>
        <v>2.2651548708862426</v>
      </c>
    </row>
    <row r="1505" spans="1:3" x14ac:dyDescent="0.15">
      <c r="A1505" s="22">
        <v>43312</v>
      </c>
      <c r="B1505">
        <v>5549.96</v>
      </c>
      <c r="C1505">
        <f t="shared" si="23"/>
        <v>2.276290317288447</v>
      </c>
    </row>
    <row r="1506" spans="1:3" x14ac:dyDescent="0.15">
      <c r="A1506" s="22">
        <v>43313</v>
      </c>
      <c r="B1506">
        <v>5544.19</v>
      </c>
      <c r="C1506">
        <f t="shared" si="23"/>
        <v>2.2739237785871311</v>
      </c>
    </row>
    <row r="1507" spans="1:3" x14ac:dyDescent="0.15">
      <c r="A1507" s="22">
        <v>43314</v>
      </c>
      <c r="B1507">
        <v>5572.08</v>
      </c>
      <c r="C1507">
        <f t="shared" si="23"/>
        <v>2.2853627325524166</v>
      </c>
    </row>
    <row r="1508" spans="1:3" x14ac:dyDescent="0.15">
      <c r="A1508" s="22">
        <v>43315</v>
      </c>
      <c r="B1508">
        <v>5598.71</v>
      </c>
      <c r="C1508">
        <f t="shared" si="23"/>
        <v>2.2962849033697545</v>
      </c>
    </row>
    <row r="1509" spans="1:3" x14ac:dyDescent="0.15">
      <c r="A1509" s="22">
        <v>43318</v>
      </c>
      <c r="B1509">
        <v>5619.05</v>
      </c>
      <c r="C1509">
        <f t="shared" si="23"/>
        <v>2.3046272599009092</v>
      </c>
    </row>
    <row r="1510" spans="1:3" x14ac:dyDescent="0.15">
      <c r="A1510" s="22">
        <v>43319</v>
      </c>
      <c r="B1510">
        <v>5634.98</v>
      </c>
      <c r="C1510">
        <f t="shared" si="23"/>
        <v>2.311160875414247</v>
      </c>
    </row>
    <row r="1511" spans="1:3" x14ac:dyDescent="0.15">
      <c r="A1511" s="22">
        <v>43320</v>
      </c>
      <c r="B1511">
        <v>5633.67</v>
      </c>
      <c r="C1511">
        <f t="shared" si="23"/>
        <v>2.3106235849985235</v>
      </c>
    </row>
    <row r="1512" spans="1:3" x14ac:dyDescent="0.15">
      <c r="A1512" s="22">
        <v>43321</v>
      </c>
      <c r="B1512">
        <v>5627</v>
      </c>
      <c r="C1512">
        <f t="shared" si="23"/>
        <v>2.3078879154772451</v>
      </c>
    </row>
    <row r="1513" spans="1:3" x14ac:dyDescent="0.15">
      <c r="A1513" s="22">
        <v>43322</v>
      </c>
      <c r="B1513">
        <v>5588.66</v>
      </c>
      <c r="C1513">
        <f t="shared" si="23"/>
        <v>2.2921629425468386</v>
      </c>
    </row>
    <row r="1514" spans="1:3" x14ac:dyDescent="0.15">
      <c r="A1514" s="22">
        <v>43325</v>
      </c>
      <c r="B1514">
        <v>5566.36</v>
      </c>
      <c r="C1514">
        <f t="shared" si="23"/>
        <v>2.2830167011188767</v>
      </c>
    </row>
    <row r="1515" spans="1:3" x14ac:dyDescent="0.15">
      <c r="A1515" s="22">
        <v>43326</v>
      </c>
      <c r="B1515">
        <v>5602.41</v>
      </c>
      <c r="C1515">
        <f t="shared" si="23"/>
        <v>2.2978024411851563</v>
      </c>
    </row>
    <row r="1516" spans="1:3" x14ac:dyDescent="0.15">
      <c r="A1516" s="22">
        <v>43327</v>
      </c>
      <c r="B1516">
        <v>5560.85</v>
      </c>
      <c r="C1516">
        <f t="shared" si="23"/>
        <v>2.2807568002099945</v>
      </c>
    </row>
    <row r="1517" spans="1:3" x14ac:dyDescent="0.15">
      <c r="A1517" s="22">
        <v>43328</v>
      </c>
      <c r="B1517">
        <v>5606.56</v>
      </c>
      <c r="C1517">
        <f t="shared" si="23"/>
        <v>2.2995045444105395</v>
      </c>
    </row>
    <row r="1518" spans="1:3" x14ac:dyDescent="0.15">
      <c r="A1518" s="22">
        <v>43329</v>
      </c>
      <c r="B1518">
        <v>5625.66</v>
      </c>
      <c r="C1518">
        <f t="shared" si="23"/>
        <v>2.3073383207008566</v>
      </c>
    </row>
    <row r="1519" spans="1:3" x14ac:dyDescent="0.15">
      <c r="A1519" s="22">
        <v>43332</v>
      </c>
      <c r="B1519">
        <v>5639.53</v>
      </c>
      <c r="C1519">
        <f t="shared" si="23"/>
        <v>2.3130270367818353</v>
      </c>
    </row>
    <row r="1520" spans="1:3" x14ac:dyDescent="0.15">
      <c r="A1520" s="22">
        <v>43333</v>
      </c>
      <c r="B1520">
        <v>5651.39</v>
      </c>
      <c r="C1520">
        <f t="shared" si="23"/>
        <v>2.3178913606982317</v>
      </c>
    </row>
    <row r="1521" spans="1:3" x14ac:dyDescent="0.15">
      <c r="A1521" s="22">
        <v>43334</v>
      </c>
      <c r="B1521">
        <v>5649.31</v>
      </c>
      <c r="C1521">
        <f t="shared" si="23"/>
        <v>2.3170382583587625</v>
      </c>
    </row>
    <row r="1522" spans="1:3" x14ac:dyDescent="0.15">
      <c r="A1522" s="22">
        <v>43335</v>
      </c>
      <c r="B1522">
        <v>5640.1</v>
      </c>
      <c r="C1522">
        <f t="shared" si="23"/>
        <v>2.3132608196344786</v>
      </c>
    </row>
    <row r="1523" spans="1:3" x14ac:dyDescent="0.15">
      <c r="A1523" s="22">
        <v>43336</v>
      </c>
      <c r="B1523">
        <v>5675.12</v>
      </c>
      <c r="C1523">
        <f t="shared" si="23"/>
        <v>2.3276241099845785</v>
      </c>
    </row>
    <row r="1524" spans="1:3" x14ac:dyDescent="0.15">
      <c r="A1524" s="22">
        <v>43339</v>
      </c>
      <c r="B1524">
        <v>5719.3</v>
      </c>
      <c r="C1524">
        <f t="shared" si="23"/>
        <v>2.3457443317911868</v>
      </c>
    </row>
    <row r="1525" spans="1:3" x14ac:dyDescent="0.15">
      <c r="A1525" s="22">
        <v>43340</v>
      </c>
      <c r="B1525">
        <v>5720.89</v>
      </c>
      <c r="C1525">
        <f t="shared" si="23"/>
        <v>2.3463964629064544</v>
      </c>
    </row>
    <row r="1526" spans="1:3" x14ac:dyDescent="0.15">
      <c r="A1526" s="22">
        <v>43341</v>
      </c>
      <c r="B1526">
        <v>5754</v>
      </c>
      <c r="C1526">
        <f t="shared" si="23"/>
        <v>2.3599763756275225</v>
      </c>
    </row>
    <row r="1527" spans="1:3" x14ac:dyDescent="0.15">
      <c r="A1527" s="22">
        <v>43342</v>
      </c>
      <c r="B1527">
        <v>5729.45</v>
      </c>
      <c r="C1527">
        <f t="shared" si="23"/>
        <v>2.3499073071496541</v>
      </c>
    </row>
    <row r="1528" spans="1:3" x14ac:dyDescent="0.15">
      <c r="A1528" s="22">
        <v>43343</v>
      </c>
      <c r="B1528">
        <v>5730.8</v>
      </c>
      <c r="C1528">
        <f t="shared" si="23"/>
        <v>2.3504610033795981</v>
      </c>
    </row>
    <row r="1529" spans="1:3" x14ac:dyDescent="0.15">
      <c r="A1529" s="22">
        <v>43347</v>
      </c>
      <c r="B1529">
        <v>5721.86</v>
      </c>
      <c r="C1529">
        <f t="shared" si="23"/>
        <v>2.3467943039013028</v>
      </c>
    </row>
    <row r="1530" spans="1:3" x14ac:dyDescent="0.15">
      <c r="A1530" s="22">
        <v>43348</v>
      </c>
      <c r="B1530">
        <v>5705.86</v>
      </c>
      <c r="C1530">
        <f t="shared" si="23"/>
        <v>2.3402319782130787</v>
      </c>
    </row>
    <row r="1531" spans="1:3" x14ac:dyDescent="0.15">
      <c r="A1531" s="22">
        <v>43349</v>
      </c>
      <c r="B1531">
        <v>5686.7</v>
      </c>
      <c r="C1531">
        <f t="shared" si="23"/>
        <v>2.3323735932014307</v>
      </c>
    </row>
    <row r="1532" spans="1:3" x14ac:dyDescent="0.15">
      <c r="A1532" s="22">
        <v>43350</v>
      </c>
      <c r="B1532">
        <v>5674.58</v>
      </c>
      <c r="C1532">
        <f t="shared" si="23"/>
        <v>2.3274026314926011</v>
      </c>
    </row>
    <row r="1533" spans="1:3" x14ac:dyDescent="0.15">
      <c r="A1533" s="22">
        <v>43353</v>
      </c>
      <c r="B1533">
        <v>5685.34</v>
      </c>
      <c r="C1533">
        <f t="shared" si="23"/>
        <v>2.3318157955179317</v>
      </c>
    </row>
    <row r="1534" spans="1:3" x14ac:dyDescent="0.15">
      <c r="A1534" s="22">
        <v>43354</v>
      </c>
      <c r="B1534">
        <v>5706.99</v>
      </c>
      <c r="C1534">
        <f t="shared" si="23"/>
        <v>2.3406954424648094</v>
      </c>
    </row>
    <row r="1535" spans="1:3" x14ac:dyDescent="0.15">
      <c r="A1535" s="22">
        <v>43355</v>
      </c>
      <c r="B1535">
        <v>5709.08</v>
      </c>
      <c r="C1535">
        <f t="shared" si="23"/>
        <v>2.341552646257834</v>
      </c>
    </row>
    <row r="1536" spans="1:3" x14ac:dyDescent="0.15">
      <c r="A1536" s="22">
        <v>43356</v>
      </c>
      <c r="B1536">
        <v>5740.75</v>
      </c>
      <c r="C1536">
        <f t="shared" si="23"/>
        <v>2.3545419496669622</v>
      </c>
    </row>
    <row r="1537" spans="1:3" x14ac:dyDescent="0.15">
      <c r="A1537" s="22">
        <v>43357</v>
      </c>
      <c r="B1537">
        <v>5743.19</v>
      </c>
      <c r="C1537">
        <f t="shared" si="23"/>
        <v>2.3555427043344159</v>
      </c>
    </row>
    <row r="1538" spans="1:3" x14ac:dyDescent="0.15">
      <c r="A1538" s="22">
        <v>43360</v>
      </c>
      <c r="B1538">
        <v>5711.29</v>
      </c>
      <c r="C1538">
        <f t="shared" ref="C1538:C1601" si="24">(B1538 / $B$2)</f>
        <v>2.34245906749352</v>
      </c>
    </row>
    <row r="1539" spans="1:3" x14ac:dyDescent="0.15">
      <c r="A1539" s="22">
        <v>43361</v>
      </c>
      <c r="B1539">
        <v>5742.18</v>
      </c>
      <c r="C1539">
        <f t="shared" si="24"/>
        <v>2.3551284575253471</v>
      </c>
    </row>
    <row r="1540" spans="1:3" x14ac:dyDescent="0.15">
      <c r="A1540" s="22">
        <v>43362</v>
      </c>
      <c r="B1540">
        <v>5749.39</v>
      </c>
      <c r="C1540">
        <f t="shared" si="24"/>
        <v>2.3580856055386032</v>
      </c>
    </row>
    <row r="1541" spans="1:3" x14ac:dyDescent="0.15">
      <c r="A1541" s="22">
        <v>43363</v>
      </c>
      <c r="B1541">
        <v>5794.72</v>
      </c>
      <c r="C1541">
        <f t="shared" si="24"/>
        <v>2.3766774945040523</v>
      </c>
    </row>
    <row r="1542" spans="1:3" x14ac:dyDescent="0.15">
      <c r="A1542" s="22">
        <v>43364</v>
      </c>
      <c r="B1542">
        <v>5792.72</v>
      </c>
      <c r="C1542">
        <f t="shared" si="24"/>
        <v>2.3758572037930246</v>
      </c>
    </row>
    <row r="1543" spans="1:3" x14ac:dyDescent="0.15">
      <c r="A1543" s="22">
        <v>43367</v>
      </c>
      <c r="B1543">
        <v>5772.36</v>
      </c>
      <c r="C1543">
        <f t="shared" si="24"/>
        <v>2.3675066443547594</v>
      </c>
    </row>
    <row r="1544" spans="1:3" x14ac:dyDescent="0.15">
      <c r="A1544" s="22">
        <v>43368</v>
      </c>
      <c r="B1544">
        <v>5765.25</v>
      </c>
      <c r="C1544">
        <f t="shared" si="24"/>
        <v>2.3645905108770551</v>
      </c>
    </row>
    <row r="1545" spans="1:3" x14ac:dyDescent="0.15">
      <c r="A1545" s="22">
        <v>43369</v>
      </c>
      <c r="B1545">
        <v>5746.27</v>
      </c>
      <c r="C1545">
        <f t="shared" si="24"/>
        <v>2.3568059520293994</v>
      </c>
    </row>
    <row r="1546" spans="1:3" x14ac:dyDescent="0.15">
      <c r="A1546" s="22">
        <v>43370</v>
      </c>
      <c r="B1546">
        <v>5763.22</v>
      </c>
      <c r="C1546">
        <f t="shared" si="24"/>
        <v>2.3637579158053619</v>
      </c>
    </row>
    <row r="1547" spans="1:3" x14ac:dyDescent="0.15">
      <c r="A1547" s="22">
        <v>43371</v>
      </c>
      <c r="B1547">
        <v>5763.42</v>
      </c>
      <c r="C1547">
        <f t="shared" si="24"/>
        <v>2.3638399448764642</v>
      </c>
    </row>
    <row r="1548" spans="1:3" x14ac:dyDescent="0.15">
      <c r="A1548" s="22">
        <v>43374</v>
      </c>
      <c r="B1548">
        <v>5784.45</v>
      </c>
      <c r="C1548">
        <f t="shared" si="24"/>
        <v>2.3724653017029236</v>
      </c>
    </row>
    <row r="1549" spans="1:3" x14ac:dyDescent="0.15">
      <c r="A1549" s="22">
        <v>43375</v>
      </c>
      <c r="B1549">
        <v>5782.37</v>
      </c>
      <c r="C1549">
        <f t="shared" si="24"/>
        <v>2.3716121993634545</v>
      </c>
    </row>
    <row r="1550" spans="1:3" x14ac:dyDescent="0.15">
      <c r="A1550" s="22">
        <v>43376</v>
      </c>
      <c r="B1550">
        <v>5786.48</v>
      </c>
      <c r="C1550">
        <f t="shared" si="24"/>
        <v>2.3732978967746168</v>
      </c>
    </row>
    <row r="1551" spans="1:3" x14ac:dyDescent="0.15">
      <c r="A1551" s="22">
        <v>43377</v>
      </c>
      <c r="B1551">
        <v>5740.56</v>
      </c>
      <c r="C1551">
        <f t="shared" si="24"/>
        <v>2.3544640220494144</v>
      </c>
    </row>
    <row r="1552" spans="1:3" x14ac:dyDescent="0.15">
      <c r="A1552" s="22">
        <v>43378</v>
      </c>
      <c r="B1552">
        <v>5708.9</v>
      </c>
      <c r="C1552">
        <f t="shared" si="24"/>
        <v>2.3414788200938412</v>
      </c>
    </row>
    <row r="1553" spans="1:3" x14ac:dyDescent="0.15">
      <c r="A1553" s="22">
        <v>43381</v>
      </c>
      <c r="B1553">
        <v>5706.66</v>
      </c>
      <c r="C1553">
        <f t="shared" si="24"/>
        <v>2.3405600944974898</v>
      </c>
    </row>
    <row r="1554" spans="1:3" x14ac:dyDescent="0.15">
      <c r="A1554" s="22">
        <v>43382</v>
      </c>
      <c r="B1554">
        <v>5700.23</v>
      </c>
      <c r="C1554">
        <f t="shared" si="24"/>
        <v>2.3379228598615347</v>
      </c>
    </row>
    <row r="1555" spans="1:3" x14ac:dyDescent="0.15">
      <c r="A1555" s="22">
        <v>43383</v>
      </c>
      <c r="B1555">
        <v>5512.94</v>
      </c>
      <c r="C1555">
        <f t="shared" si="24"/>
        <v>2.2611067362273189</v>
      </c>
    </row>
    <row r="1556" spans="1:3" x14ac:dyDescent="0.15">
      <c r="A1556" s="22">
        <v>43384</v>
      </c>
      <c r="B1556">
        <v>5399.54</v>
      </c>
      <c r="C1556">
        <f t="shared" si="24"/>
        <v>2.214596252912032</v>
      </c>
    </row>
    <row r="1557" spans="1:3" x14ac:dyDescent="0.15">
      <c r="A1557" s="22">
        <v>43385</v>
      </c>
      <c r="B1557">
        <v>5476.83</v>
      </c>
      <c r="C1557">
        <f t="shared" si="24"/>
        <v>2.2462963874397088</v>
      </c>
    </row>
    <row r="1558" spans="1:3" x14ac:dyDescent="0.15">
      <c r="A1558" s="22">
        <v>43388</v>
      </c>
      <c r="B1558">
        <v>5444.61</v>
      </c>
      <c r="C1558">
        <f t="shared" si="24"/>
        <v>2.2330815040850478</v>
      </c>
    </row>
    <row r="1559" spans="1:3" x14ac:dyDescent="0.15">
      <c r="A1559" s="22">
        <v>43389</v>
      </c>
      <c r="B1559">
        <v>5561.8</v>
      </c>
      <c r="C1559">
        <f t="shared" si="24"/>
        <v>2.2811464382977329</v>
      </c>
    </row>
    <row r="1560" spans="1:3" x14ac:dyDescent="0.15">
      <c r="A1560" s="22">
        <v>43390</v>
      </c>
      <c r="B1560">
        <v>5560.62</v>
      </c>
      <c r="C1560">
        <f t="shared" si="24"/>
        <v>2.2806624667782263</v>
      </c>
    </row>
    <row r="1561" spans="1:3" x14ac:dyDescent="0.15">
      <c r="A1561" s="22">
        <v>43391</v>
      </c>
      <c r="B1561">
        <v>5481.13</v>
      </c>
      <c r="C1561">
        <f t="shared" si="24"/>
        <v>2.2480600124684189</v>
      </c>
    </row>
    <row r="1562" spans="1:3" x14ac:dyDescent="0.15">
      <c r="A1562" s="22">
        <v>43392</v>
      </c>
      <c r="B1562">
        <v>5479.3</v>
      </c>
      <c r="C1562">
        <f t="shared" si="24"/>
        <v>2.2473094464678285</v>
      </c>
    </row>
    <row r="1563" spans="1:3" x14ac:dyDescent="0.15">
      <c r="A1563" s="22">
        <v>43395</v>
      </c>
      <c r="B1563">
        <v>5455.88</v>
      </c>
      <c r="C1563">
        <f t="shared" si="24"/>
        <v>2.2377038422416908</v>
      </c>
    </row>
    <row r="1564" spans="1:3" x14ac:dyDescent="0.15">
      <c r="A1564" s="22">
        <v>43396</v>
      </c>
      <c r="B1564">
        <v>5426.08</v>
      </c>
      <c r="C1564">
        <f t="shared" si="24"/>
        <v>2.2254815106473735</v>
      </c>
    </row>
    <row r="1565" spans="1:3" x14ac:dyDescent="0.15">
      <c r="A1565" s="22">
        <v>43397</v>
      </c>
      <c r="B1565">
        <v>5258.61</v>
      </c>
      <c r="C1565">
        <f t="shared" si="24"/>
        <v>2.1567944679594446</v>
      </c>
    </row>
    <row r="1566" spans="1:3" x14ac:dyDescent="0.15">
      <c r="A1566" s="22">
        <v>43398</v>
      </c>
      <c r="B1566">
        <v>5356.54</v>
      </c>
      <c r="C1566">
        <f t="shared" si="24"/>
        <v>2.1969600026249303</v>
      </c>
    </row>
    <row r="1567" spans="1:3" x14ac:dyDescent="0.15">
      <c r="A1567" s="22">
        <v>43399</v>
      </c>
      <c r="B1567">
        <v>5263.74</v>
      </c>
      <c r="C1567">
        <f t="shared" si="24"/>
        <v>2.1588985136332317</v>
      </c>
    </row>
    <row r="1568" spans="1:3" x14ac:dyDescent="0.15">
      <c r="A1568" s="22">
        <v>43402</v>
      </c>
      <c r="B1568">
        <v>5229.28</v>
      </c>
      <c r="C1568">
        <f t="shared" si="24"/>
        <v>2.1447649046822193</v>
      </c>
    </row>
    <row r="1569" spans="1:3" x14ac:dyDescent="0.15">
      <c r="A1569" s="22">
        <v>43403</v>
      </c>
      <c r="B1569">
        <v>5311.67</v>
      </c>
      <c r="C1569">
        <f t="shared" si="24"/>
        <v>2.1785567805230177</v>
      </c>
    </row>
    <row r="1570" spans="1:3" x14ac:dyDescent="0.15">
      <c r="A1570" s="22">
        <v>43404</v>
      </c>
      <c r="B1570">
        <v>5369.49</v>
      </c>
      <c r="C1570">
        <f t="shared" si="24"/>
        <v>2.2022713849788365</v>
      </c>
    </row>
    <row r="1571" spans="1:3" x14ac:dyDescent="0.15">
      <c r="A1571" s="22">
        <v>43405</v>
      </c>
      <c r="B1571">
        <v>5426.33</v>
      </c>
      <c r="C1571">
        <f t="shared" si="24"/>
        <v>2.2255840469862522</v>
      </c>
    </row>
    <row r="1572" spans="1:3" x14ac:dyDescent="0.15">
      <c r="A1572" s="22">
        <v>43406</v>
      </c>
      <c r="B1572">
        <v>5392.53</v>
      </c>
      <c r="C1572">
        <f t="shared" si="24"/>
        <v>2.211721133969879</v>
      </c>
    </row>
    <row r="1573" spans="1:3" x14ac:dyDescent="0.15">
      <c r="A1573" s="22">
        <v>43409</v>
      </c>
      <c r="B1573">
        <v>5422.88</v>
      </c>
      <c r="C1573">
        <f t="shared" si="24"/>
        <v>2.2241690455097287</v>
      </c>
    </row>
    <row r="1574" spans="1:3" x14ac:dyDescent="0.15">
      <c r="A1574" s="22">
        <v>43410</v>
      </c>
      <c r="B1574">
        <v>5457.25</v>
      </c>
      <c r="C1574">
        <f t="shared" si="24"/>
        <v>2.2382657413787448</v>
      </c>
    </row>
    <row r="1575" spans="1:3" x14ac:dyDescent="0.15">
      <c r="A1575" s="22">
        <v>43411</v>
      </c>
      <c r="B1575">
        <v>5573.06</v>
      </c>
      <c r="C1575">
        <f t="shared" si="24"/>
        <v>2.2857646750008205</v>
      </c>
    </row>
    <row r="1576" spans="1:3" x14ac:dyDescent="0.15">
      <c r="A1576" s="22">
        <v>43412</v>
      </c>
      <c r="B1576">
        <v>5562</v>
      </c>
      <c r="C1576">
        <f t="shared" si="24"/>
        <v>2.2812284673688357</v>
      </c>
    </row>
    <row r="1577" spans="1:3" x14ac:dyDescent="0.15">
      <c r="A1577" s="22">
        <v>43413</v>
      </c>
      <c r="B1577">
        <v>5511.79</v>
      </c>
      <c r="C1577">
        <f t="shared" si="24"/>
        <v>2.2606350690684778</v>
      </c>
    </row>
    <row r="1578" spans="1:3" x14ac:dyDescent="0.15">
      <c r="A1578" s="22">
        <v>43416</v>
      </c>
      <c r="B1578">
        <v>5403.19</v>
      </c>
      <c r="C1578">
        <f t="shared" si="24"/>
        <v>2.2160932834596583</v>
      </c>
    </row>
    <row r="1579" spans="1:3" x14ac:dyDescent="0.15">
      <c r="A1579" s="22">
        <v>43417</v>
      </c>
      <c r="B1579">
        <v>5395.37</v>
      </c>
      <c r="C1579">
        <f t="shared" si="24"/>
        <v>2.2128859467795388</v>
      </c>
    </row>
    <row r="1580" spans="1:3" x14ac:dyDescent="0.15">
      <c r="A1580" s="22">
        <v>43418</v>
      </c>
      <c r="B1580">
        <v>5355.94</v>
      </c>
      <c r="C1580">
        <f t="shared" si="24"/>
        <v>2.196713915411622</v>
      </c>
    </row>
    <row r="1581" spans="1:3" x14ac:dyDescent="0.15">
      <c r="A1581" s="22">
        <v>43419</v>
      </c>
      <c r="B1581">
        <v>5414.43</v>
      </c>
      <c r="C1581">
        <f t="shared" si="24"/>
        <v>2.2207033172556359</v>
      </c>
    </row>
    <row r="1582" spans="1:3" x14ac:dyDescent="0.15">
      <c r="A1582" s="22">
        <v>43420</v>
      </c>
      <c r="B1582">
        <v>5426.86</v>
      </c>
      <c r="C1582">
        <f t="shared" si="24"/>
        <v>2.2258014240246742</v>
      </c>
    </row>
    <row r="1583" spans="1:3" x14ac:dyDescent="0.15">
      <c r="A1583" s="22">
        <v>43423</v>
      </c>
      <c r="B1583">
        <v>5336.7</v>
      </c>
      <c r="C1583">
        <f t="shared" si="24"/>
        <v>2.1888227187715326</v>
      </c>
    </row>
    <row r="1584" spans="1:3" x14ac:dyDescent="0.15">
      <c r="A1584" s="22">
        <v>43424</v>
      </c>
      <c r="B1584">
        <v>5240.2299999999996</v>
      </c>
      <c r="C1584">
        <f t="shared" si="24"/>
        <v>2.1492559963250977</v>
      </c>
    </row>
    <row r="1585" spans="1:3" x14ac:dyDescent="0.15">
      <c r="A1585" s="22">
        <v>43425</v>
      </c>
      <c r="B1585">
        <v>5256.61</v>
      </c>
      <c r="C1585">
        <f t="shared" si="24"/>
        <v>2.1559741772484169</v>
      </c>
    </row>
    <row r="1586" spans="1:3" x14ac:dyDescent="0.15">
      <c r="A1586" s="22">
        <v>43427</v>
      </c>
      <c r="B1586">
        <v>5222.43</v>
      </c>
      <c r="C1586">
        <f t="shared" si="24"/>
        <v>2.1419554089969486</v>
      </c>
    </row>
    <row r="1587" spans="1:3" x14ac:dyDescent="0.15">
      <c r="A1587" s="22">
        <v>43430</v>
      </c>
      <c r="B1587">
        <v>5304.17</v>
      </c>
      <c r="C1587">
        <f t="shared" si="24"/>
        <v>2.1754806903566624</v>
      </c>
    </row>
    <row r="1588" spans="1:3" x14ac:dyDescent="0.15">
      <c r="A1588" s="22">
        <v>43431</v>
      </c>
      <c r="B1588">
        <v>5321.52</v>
      </c>
      <c r="C1588">
        <f t="shared" si="24"/>
        <v>2.1825967122748304</v>
      </c>
    </row>
    <row r="1589" spans="1:3" x14ac:dyDescent="0.15">
      <c r="A1589" s="22">
        <v>43432</v>
      </c>
      <c r="B1589">
        <v>5444.12</v>
      </c>
      <c r="C1589">
        <f t="shared" si="24"/>
        <v>2.2328805328608459</v>
      </c>
    </row>
    <row r="1590" spans="1:3" x14ac:dyDescent="0.15">
      <c r="A1590" s="22">
        <v>43433</v>
      </c>
      <c r="B1590">
        <v>5433.49</v>
      </c>
      <c r="C1590">
        <f t="shared" si="24"/>
        <v>2.2285206877317321</v>
      </c>
    </row>
    <row r="1591" spans="1:3" x14ac:dyDescent="0.15">
      <c r="A1591" s="22">
        <v>43434</v>
      </c>
      <c r="B1591">
        <v>5478.91</v>
      </c>
      <c r="C1591">
        <f t="shared" si="24"/>
        <v>2.2471494897791779</v>
      </c>
    </row>
    <row r="1592" spans="1:3" x14ac:dyDescent="0.15">
      <c r="A1592" s="22">
        <v>43437</v>
      </c>
      <c r="B1592">
        <v>5538.86</v>
      </c>
      <c r="C1592">
        <f t="shared" si="24"/>
        <v>2.2717377038422417</v>
      </c>
    </row>
    <row r="1593" spans="1:3" x14ac:dyDescent="0.15">
      <c r="A1593" s="22">
        <v>43438</v>
      </c>
      <c r="B1593">
        <v>5359.91</v>
      </c>
      <c r="C1593">
        <f t="shared" si="24"/>
        <v>2.1983421924730124</v>
      </c>
    </row>
    <row r="1594" spans="1:3" x14ac:dyDescent="0.15">
      <c r="A1594" s="22">
        <v>43440</v>
      </c>
      <c r="B1594">
        <v>5353.43</v>
      </c>
      <c r="C1594">
        <f t="shared" si="24"/>
        <v>2.1956844505692819</v>
      </c>
    </row>
    <row r="1595" spans="1:3" x14ac:dyDescent="0.15">
      <c r="A1595" s="22">
        <v>43441</v>
      </c>
      <c r="B1595">
        <v>5229.4399999999996</v>
      </c>
      <c r="C1595">
        <f t="shared" si="24"/>
        <v>2.1448305279391016</v>
      </c>
    </row>
    <row r="1596" spans="1:3" x14ac:dyDescent="0.15">
      <c r="A1596" s="22">
        <v>43444</v>
      </c>
      <c r="B1596">
        <v>5238.7</v>
      </c>
      <c r="C1596">
        <f t="shared" si="24"/>
        <v>2.1486284739311614</v>
      </c>
    </row>
    <row r="1597" spans="1:3" x14ac:dyDescent="0.15">
      <c r="A1597" s="22">
        <v>43445</v>
      </c>
      <c r="B1597">
        <v>5237.1000000000004</v>
      </c>
      <c r="C1597">
        <f t="shared" si="24"/>
        <v>2.1479722413623392</v>
      </c>
    </row>
    <row r="1598" spans="1:3" x14ac:dyDescent="0.15">
      <c r="A1598" s="22">
        <v>43446</v>
      </c>
      <c r="B1598">
        <v>5265.53</v>
      </c>
      <c r="C1598">
        <f t="shared" si="24"/>
        <v>2.1596326738196017</v>
      </c>
    </row>
    <row r="1599" spans="1:3" x14ac:dyDescent="0.15">
      <c r="A1599" s="22">
        <v>43447</v>
      </c>
      <c r="B1599">
        <v>5265.46</v>
      </c>
      <c r="C1599">
        <f t="shared" si="24"/>
        <v>2.1596039636447157</v>
      </c>
    </row>
    <row r="1600" spans="1:3" x14ac:dyDescent="0.15">
      <c r="A1600" s="22">
        <v>43448</v>
      </c>
      <c r="B1600">
        <v>5165.6000000000004</v>
      </c>
      <c r="C1600">
        <f t="shared" si="24"/>
        <v>2.1186468484430887</v>
      </c>
    </row>
    <row r="1601" spans="1:3" x14ac:dyDescent="0.15">
      <c r="A1601" s="22">
        <v>43451</v>
      </c>
      <c r="B1601">
        <v>5058.58</v>
      </c>
      <c r="C1601">
        <f t="shared" si="24"/>
        <v>2.0747530924959805</v>
      </c>
    </row>
    <row r="1602" spans="1:3" x14ac:dyDescent="0.15">
      <c r="A1602" s="22">
        <v>43452</v>
      </c>
      <c r="B1602">
        <v>5059.34</v>
      </c>
      <c r="C1602">
        <f t="shared" ref="C1602:C1665" si="25">(B1602 / $B$2)</f>
        <v>2.0750648029661716</v>
      </c>
    </row>
    <row r="1603" spans="1:3" x14ac:dyDescent="0.15">
      <c r="A1603" s="22">
        <v>43453</v>
      </c>
      <c r="B1603">
        <v>4981.92</v>
      </c>
      <c r="C1603">
        <f t="shared" si="25"/>
        <v>2.0433113495422779</v>
      </c>
    </row>
    <row r="1604" spans="1:3" x14ac:dyDescent="0.15">
      <c r="A1604" s="22">
        <v>43454</v>
      </c>
      <c r="B1604">
        <v>4903.46</v>
      </c>
      <c r="C1604">
        <f t="shared" si="25"/>
        <v>2.0111313449486499</v>
      </c>
    </row>
    <row r="1605" spans="1:3" x14ac:dyDescent="0.15">
      <c r="A1605" s="22">
        <v>43455</v>
      </c>
      <c r="B1605">
        <v>4802.51</v>
      </c>
      <c r="C1605">
        <f t="shared" si="25"/>
        <v>1.9697271713095124</v>
      </c>
    </row>
    <row r="1606" spans="1:3" x14ac:dyDescent="0.15">
      <c r="A1606" s="22">
        <v>43458</v>
      </c>
      <c r="B1606">
        <v>4672.66</v>
      </c>
      <c r="C1606">
        <f t="shared" si="25"/>
        <v>1.91646979689602</v>
      </c>
    </row>
    <row r="1607" spans="1:3" x14ac:dyDescent="0.15">
      <c r="A1607" s="22">
        <v>43460</v>
      </c>
      <c r="B1607">
        <v>4904.49</v>
      </c>
      <c r="C1607">
        <f t="shared" si="25"/>
        <v>2.0115537946648292</v>
      </c>
    </row>
    <row r="1608" spans="1:3" x14ac:dyDescent="0.15">
      <c r="A1608" s="22">
        <v>43461</v>
      </c>
      <c r="B1608">
        <v>4946.9399999999996</v>
      </c>
      <c r="C1608">
        <f t="shared" si="25"/>
        <v>2.028964465006398</v>
      </c>
    </row>
    <row r="1609" spans="1:3" x14ac:dyDescent="0.15">
      <c r="A1609" s="22">
        <v>43462</v>
      </c>
      <c r="B1609">
        <v>4941.6099999999997</v>
      </c>
      <c r="C1609">
        <f t="shared" si="25"/>
        <v>2.0267783902615086</v>
      </c>
    </row>
    <row r="1610" spans="1:3" x14ac:dyDescent="0.15">
      <c r="A1610" s="22">
        <v>43465</v>
      </c>
      <c r="B1610">
        <v>4984.22</v>
      </c>
      <c r="C1610">
        <f t="shared" si="25"/>
        <v>2.0442546838599602</v>
      </c>
    </row>
    <row r="1611" spans="1:3" x14ac:dyDescent="0.15">
      <c r="A1611" s="22">
        <v>43467</v>
      </c>
      <c r="B1611">
        <v>4990.5600000000004</v>
      </c>
      <c r="C1611">
        <f t="shared" si="25"/>
        <v>2.046855005413919</v>
      </c>
    </row>
    <row r="1612" spans="1:3" x14ac:dyDescent="0.15">
      <c r="A1612" s="22">
        <v>43468</v>
      </c>
      <c r="B1612">
        <v>4868.3</v>
      </c>
      <c r="C1612">
        <f t="shared" si="25"/>
        <v>1.9967106342487779</v>
      </c>
    </row>
    <row r="1613" spans="1:3" x14ac:dyDescent="0.15">
      <c r="A1613" s="22">
        <v>43469</v>
      </c>
      <c r="B1613">
        <v>5035.45</v>
      </c>
      <c r="C1613">
        <f t="shared" si="25"/>
        <v>2.065266430422942</v>
      </c>
    </row>
    <row r="1614" spans="1:3" x14ac:dyDescent="0.15">
      <c r="A1614" s="22">
        <v>43472</v>
      </c>
      <c r="B1614">
        <v>5070.76</v>
      </c>
      <c r="C1614">
        <f t="shared" si="25"/>
        <v>2.079748662926141</v>
      </c>
    </row>
    <row r="1615" spans="1:3" x14ac:dyDescent="0.15">
      <c r="A1615" s="22">
        <v>43473</v>
      </c>
      <c r="B1615">
        <v>5120.04</v>
      </c>
      <c r="C1615">
        <f t="shared" si="25"/>
        <v>2.099960626045871</v>
      </c>
    </row>
    <row r="1616" spans="1:3" x14ac:dyDescent="0.15">
      <c r="A1616" s="22">
        <v>43474</v>
      </c>
      <c r="B1616">
        <v>5142.66</v>
      </c>
      <c r="C1616">
        <f t="shared" si="25"/>
        <v>2.1092381139875971</v>
      </c>
    </row>
    <row r="1617" spans="1:3" x14ac:dyDescent="0.15">
      <c r="A1617" s="22">
        <v>43475</v>
      </c>
      <c r="B1617">
        <v>5165.8900000000003</v>
      </c>
      <c r="C1617">
        <f t="shared" si="25"/>
        <v>2.1187657905961874</v>
      </c>
    </row>
    <row r="1618" spans="1:3" x14ac:dyDescent="0.15">
      <c r="A1618" s="22">
        <v>43476</v>
      </c>
      <c r="B1618">
        <v>5165.1499999999996</v>
      </c>
      <c r="C1618">
        <f t="shared" si="25"/>
        <v>2.1184622830331068</v>
      </c>
    </row>
    <row r="1619" spans="1:3" x14ac:dyDescent="0.15">
      <c r="A1619" s="22">
        <v>43479</v>
      </c>
      <c r="B1619">
        <v>5138.58</v>
      </c>
      <c r="C1619">
        <f t="shared" si="25"/>
        <v>2.1075647209371002</v>
      </c>
    </row>
    <row r="1620" spans="1:3" x14ac:dyDescent="0.15">
      <c r="A1620" s="22">
        <v>43480</v>
      </c>
      <c r="B1620">
        <v>5193.78</v>
      </c>
      <c r="C1620">
        <f t="shared" si="25"/>
        <v>2.1302047445614725</v>
      </c>
    </row>
    <row r="1621" spans="1:3" x14ac:dyDescent="0.15">
      <c r="A1621" s="22">
        <v>43481</v>
      </c>
      <c r="B1621">
        <v>5205.45</v>
      </c>
      <c r="C1621">
        <f t="shared" si="25"/>
        <v>2.134991140860321</v>
      </c>
    </row>
    <row r="1622" spans="1:3" x14ac:dyDescent="0.15">
      <c r="A1622" s="22">
        <v>43482</v>
      </c>
      <c r="B1622">
        <v>5245.48</v>
      </c>
      <c r="C1622">
        <f t="shared" si="25"/>
        <v>2.1514092594415462</v>
      </c>
    </row>
    <row r="1623" spans="1:3" x14ac:dyDescent="0.15">
      <c r="A1623" s="22">
        <v>43483</v>
      </c>
      <c r="B1623">
        <v>5314.78</v>
      </c>
      <c r="C1623">
        <f t="shared" si="25"/>
        <v>2.1798323325786657</v>
      </c>
    </row>
    <row r="1624" spans="1:3" x14ac:dyDescent="0.15">
      <c r="A1624" s="22">
        <v>43487</v>
      </c>
      <c r="B1624">
        <v>5239.75</v>
      </c>
      <c r="C1624">
        <f t="shared" si="25"/>
        <v>2.1490591265544512</v>
      </c>
    </row>
    <row r="1625" spans="1:3" x14ac:dyDescent="0.15">
      <c r="A1625" s="22">
        <v>43488</v>
      </c>
      <c r="B1625">
        <v>5251.29</v>
      </c>
      <c r="C1625">
        <f t="shared" si="25"/>
        <v>2.1537922039570825</v>
      </c>
    </row>
    <row r="1626" spans="1:3" x14ac:dyDescent="0.15">
      <c r="A1626" s="22">
        <v>43489</v>
      </c>
      <c r="B1626">
        <v>5258.69</v>
      </c>
      <c r="C1626">
        <f t="shared" si="25"/>
        <v>2.156827279587886</v>
      </c>
    </row>
    <row r="1627" spans="1:3" x14ac:dyDescent="0.15">
      <c r="A1627" s="22">
        <v>43490</v>
      </c>
      <c r="B1627">
        <v>5303.51</v>
      </c>
      <c r="C1627">
        <f t="shared" si="25"/>
        <v>2.1752099944220236</v>
      </c>
    </row>
    <row r="1628" spans="1:3" x14ac:dyDescent="0.15">
      <c r="A1628" s="22">
        <v>43493</v>
      </c>
      <c r="B1628">
        <v>5261.88</v>
      </c>
      <c r="C1628">
        <f t="shared" si="25"/>
        <v>2.1581356432719758</v>
      </c>
    </row>
    <row r="1629" spans="1:3" x14ac:dyDescent="0.15">
      <c r="A1629" s="22">
        <v>43494</v>
      </c>
      <c r="B1629">
        <v>5254.31</v>
      </c>
      <c r="C1629">
        <f t="shared" si="25"/>
        <v>2.155030842930735</v>
      </c>
    </row>
    <row r="1630" spans="1:3" x14ac:dyDescent="0.15">
      <c r="A1630" s="22">
        <v>43495</v>
      </c>
      <c r="B1630">
        <v>5336.6</v>
      </c>
      <c r="C1630">
        <f t="shared" si="25"/>
        <v>2.1887817042359816</v>
      </c>
    </row>
    <row r="1631" spans="1:3" x14ac:dyDescent="0.15">
      <c r="A1631" s="22">
        <v>43496</v>
      </c>
      <c r="B1631">
        <v>5383.63</v>
      </c>
      <c r="C1631">
        <f t="shared" si="25"/>
        <v>2.2080708403058047</v>
      </c>
    </row>
    <row r="1632" spans="1:3" x14ac:dyDescent="0.15">
      <c r="A1632" s="22">
        <v>43497</v>
      </c>
      <c r="B1632">
        <v>5389.19</v>
      </c>
      <c r="C1632">
        <f t="shared" si="25"/>
        <v>2.2103512484824623</v>
      </c>
    </row>
    <row r="1633" spans="1:3" x14ac:dyDescent="0.15">
      <c r="A1633" s="22">
        <v>43500</v>
      </c>
      <c r="B1633">
        <v>5425.8</v>
      </c>
      <c r="C1633">
        <f t="shared" si="25"/>
        <v>2.2253666699478298</v>
      </c>
    </row>
    <row r="1634" spans="1:3" x14ac:dyDescent="0.15">
      <c r="A1634" s="22">
        <v>43501</v>
      </c>
      <c r="B1634">
        <v>5451.4</v>
      </c>
      <c r="C1634">
        <f t="shared" si="25"/>
        <v>2.2358663910489875</v>
      </c>
    </row>
    <row r="1635" spans="1:3" x14ac:dyDescent="0.15">
      <c r="A1635" s="22">
        <v>43502</v>
      </c>
      <c r="B1635">
        <v>5439.8</v>
      </c>
      <c r="C1635">
        <f t="shared" si="25"/>
        <v>2.2311087049250258</v>
      </c>
    </row>
    <row r="1636" spans="1:3" x14ac:dyDescent="0.15">
      <c r="A1636" s="22">
        <v>43503</v>
      </c>
      <c r="B1636">
        <v>5389.69</v>
      </c>
      <c r="C1636">
        <f t="shared" si="25"/>
        <v>2.2105563211602193</v>
      </c>
    </row>
    <row r="1637" spans="1:3" x14ac:dyDescent="0.15">
      <c r="A1637" s="22">
        <v>43504</v>
      </c>
      <c r="B1637">
        <v>5395.12</v>
      </c>
      <c r="C1637">
        <f t="shared" si="25"/>
        <v>2.2127834104406601</v>
      </c>
    </row>
    <row r="1638" spans="1:3" x14ac:dyDescent="0.15">
      <c r="A1638" s="22">
        <v>43507</v>
      </c>
      <c r="B1638">
        <v>5399</v>
      </c>
      <c r="C1638">
        <f t="shared" si="25"/>
        <v>2.2143747744200546</v>
      </c>
    </row>
    <row r="1639" spans="1:3" x14ac:dyDescent="0.15">
      <c r="A1639" s="22">
        <v>43508</v>
      </c>
      <c r="B1639">
        <v>5468.98</v>
      </c>
      <c r="C1639">
        <f t="shared" si="25"/>
        <v>2.2430767463989238</v>
      </c>
    </row>
    <row r="1640" spans="1:3" x14ac:dyDescent="0.15">
      <c r="A1640" s="22">
        <v>43509</v>
      </c>
      <c r="B1640">
        <v>5485.97</v>
      </c>
      <c r="C1640">
        <f t="shared" si="25"/>
        <v>2.2500451159891068</v>
      </c>
    </row>
    <row r="1641" spans="1:3" x14ac:dyDescent="0.15">
      <c r="A1641" s="22">
        <v>43510</v>
      </c>
      <c r="B1641">
        <v>5473.33</v>
      </c>
      <c r="C1641">
        <f t="shared" si="25"/>
        <v>2.2448608786954098</v>
      </c>
    </row>
    <row r="1642" spans="1:3" x14ac:dyDescent="0.15">
      <c r="A1642" s="22">
        <v>43511</v>
      </c>
      <c r="B1642">
        <v>5533.27</v>
      </c>
      <c r="C1642">
        <f t="shared" si="25"/>
        <v>2.2694449913049186</v>
      </c>
    </row>
    <row r="1643" spans="1:3" x14ac:dyDescent="0.15">
      <c r="A1643" s="22">
        <v>43515</v>
      </c>
      <c r="B1643">
        <v>5541.98</v>
      </c>
      <c r="C1643">
        <f t="shared" si="25"/>
        <v>2.2730173573514452</v>
      </c>
    </row>
    <row r="1644" spans="1:3" x14ac:dyDescent="0.15">
      <c r="A1644" s="22">
        <v>43516</v>
      </c>
      <c r="B1644">
        <v>5552.9</v>
      </c>
      <c r="C1644">
        <f t="shared" si="25"/>
        <v>2.2774961446336581</v>
      </c>
    </row>
    <row r="1645" spans="1:3" x14ac:dyDescent="0.15">
      <c r="A1645" s="22">
        <v>43517</v>
      </c>
      <c r="B1645">
        <v>5533.8</v>
      </c>
      <c r="C1645">
        <f t="shared" si="25"/>
        <v>2.269662368343341</v>
      </c>
    </row>
    <row r="1646" spans="1:3" x14ac:dyDescent="0.15">
      <c r="A1646" s="22">
        <v>43518</v>
      </c>
      <c r="B1646">
        <v>5569.45</v>
      </c>
      <c r="C1646">
        <f t="shared" si="25"/>
        <v>2.2842840502674147</v>
      </c>
    </row>
    <row r="1647" spans="1:3" x14ac:dyDescent="0.15">
      <c r="A1647" s="22">
        <v>43521</v>
      </c>
      <c r="B1647">
        <v>5577.09</v>
      </c>
      <c r="C1647">
        <f t="shared" si="25"/>
        <v>2.2874175607835419</v>
      </c>
    </row>
    <row r="1648" spans="1:3" x14ac:dyDescent="0.15">
      <c r="A1648" s="22">
        <v>43522</v>
      </c>
      <c r="B1648">
        <v>5572.74</v>
      </c>
      <c r="C1648">
        <f t="shared" si="25"/>
        <v>2.2856334284870559</v>
      </c>
    </row>
    <row r="1649" spans="1:3" x14ac:dyDescent="0.15">
      <c r="A1649" s="22">
        <v>43523</v>
      </c>
      <c r="B1649">
        <v>5570.57</v>
      </c>
      <c r="C1649">
        <f t="shared" si="25"/>
        <v>2.2847434130655904</v>
      </c>
    </row>
    <row r="1650" spans="1:3" x14ac:dyDescent="0.15">
      <c r="A1650" s="22">
        <v>43524</v>
      </c>
      <c r="B1650">
        <v>5556.49</v>
      </c>
      <c r="C1650">
        <f t="shared" si="25"/>
        <v>2.2789685664599535</v>
      </c>
    </row>
    <row r="1651" spans="1:3" x14ac:dyDescent="0.15">
      <c r="A1651" s="22">
        <v>43525</v>
      </c>
      <c r="B1651">
        <v>5595.11</v>
      </c>
      <c r="C1651">
        <f t="shared" si="25"/>
        <v>2.2948083800899037</v>
      </c>
    </row>
    <row r="1652" spans="1:3" x14ac:dyDescent="0.15">
      <c r="A1652" s="22">
        <v>43528</v>
      </c>
      <c r="B1652">
        <v>5573.53</v>
      </c>
      <c r="C1652">
        <f t="shared" si="25"/>
        <v>2.285957443317912</v>
      </c>
    </row>
    <row r="1653" spans="1:3" x14ac:dyDescent="0.15">
      <c r="A1653" s="22">
        <v>43529</v>
      </c>
      <c r="B1653">
        <v>5567.4</v>
      </c>
      <c r="C1653">
        <f t="shared" si="25"/>
        <v>2.283443252288611</v>
      </c>
    </row>
    <row r="1654" spans="1:3" x14ac:dyDescent="0.15">
      <c r="A1654" s="22">
        <v>43530</v>
      </c>
      <c r="B1654">
        <v>5531.34</v>
      </c>
      <c r="C1654">
        <f t="shared" si="25"/>
        <v>2.2686534107687768</v>
      </c>
    </row>
    <row r="1655" spans="1:3" x14ac:dyDescent="0.15">
      <c r="A1655" s="22">
        <v>43531</v>
      </c>
      <c r="B1655">
        <v>5487.56</v>
      </c>
      <c r="C1655">
        <f t="shared" si="25"/>
        <v>2.250697247104374</v>
      </c>
    </row>
    <row r="1656" spans="1:3" x14ac:dyDescent="0.15">
      <c r="A1656" s="22">
        <v>43532</v>
      </c>
      <c r="B1656">
        <v>5476.39</v>
      </c>
      <c r="C1656">
        <f t="shared" si="25"/>
        <v>2.2461159234832828</v>
      </c>
    </row>
    <row r="1657" spans="1:3" x14ac:dyDescent="0.15">
      <c r="A1657" s="22">
        <v>43535</v>
      </c>
      <c r="B1657">
        <v>5556.77</v>
      </c>
      <c r="C1657">
        <f t="shared" si="25"/>
        <v>2.2790834071594976</v>
      </c>
    </row>
    <row r="1658" spans="1:3" x14ac:dyDescent="0.15">
      <c r="A1658" s="22">
        <v>43536</v>
      </c>
      <c r="B1658">
        <v>5573.44</v>
      </c>
      <c r="C1658">
        <f t="shared" si="25"/>
        <v>2.2859205302359156</v>
      </c>
    </row>
    <row r="1659" spans="1:3" x14ac:dyDescent="0.15">
      <c r="A1659" s="22">
        <v>43537</v>
      </c>
      <c r="B1659">
        <v>5612.56</v>
      </c>
      <c r="C1659">
        <f t="shared" si="25"/>
        <v>2.3019654165436232</v>
      </c>
    </row>
    <row r="1660" spans="1:3" x14ac:dyDescent="0.15">
      <c r="A1660" s="22">
        <v>43538</v>
      </c>
      <c r="B1660">
        <v>5609.59</v>
      </c>
      <c r="C1660">
        <f t="shared" si="25"/>
        <v>2.3007472848377466</v>
      </c>
    </row>
    <row r="1661" spans="1:3" x14ac:dyDescent="0.15">
      <c r="A1661" s="22">
        <v>43539</v>
      </c>
      <c r="B1661">
        <v>5637.77</v>
      </c>
      <c r="C1661">
        <f t="shared" si="25"/>
        <v>2.3123051809561312</v>
      </c>
    </row>
    <row r="1662" spans="1:3" x14ac:dyDescent="0.15">
      <c r="A1662" s="22">
        <v>43542</v>
      </c>
      <c r="B1662">
        <v>5658.73</v>
      </c>
      <c r="C1662">
        <f t="shared" si="25"/>
        <v>2.3209018276077042</v>
      </c>
    </row>
    <row r="1663" spans="1:3" x14ac:dyDescent="0.15">
      <c r="A1663" s="22">
        <v>43543</v>
      </c>
      <c r="B1663">
        <v>5658.15</v>
      </c>
      <c r="C1663">
        <f t="shared" si="25"/>
        <v>2.3206639433015059</v>
      </c>
    </row>
    <row r="1664" spans="1:3" x14ac:dyDescent="0.15">
      <c r="A1664" s="22">
        <v>43544</v>
      </c>
      <c r="B1664">
        <v>5641.74</v>
      </c>
      <c r="C1664">
        <f t="shared" si="25"/>
        <v>2.3139334580175213</v>
      </c>
    </row>
    <row r="1665" spans="1:3" x14ac:dyDescent="0.15">
      <c r="A1665" s="22">
        <v>43545</v>
      </c>
      <c r="B1665">
        <v>5703.28</v>
      </c>
      <c r="C1665">
        <f t="shared" si="25"/>
        <v>2.3391738031958527</v>
      </c>
    </row>
    <row r="1666" spans="1:3" x14ac:dyDescent="0.15">
      <c r="A1666" s="22">
        <v>43546</v>
      </c>
      <c r="B1666">
        <v>5595.5</v>
      </c>
      <c r="C1666">
        <f t="shared" ref="C1666:C1729" si="26">(B1666 / $B$2)</f>
        <v>2.2949683367785543</v>
      </c>
    </row>
    <row r="1667" spans="1:3" x14ac:dyDescent="0.15">
      <c r="A1667" s="22">
        <v>43549</v>
      </c>
      <c r="B1667">
        <v>5591.23</v>
      </c>
      <c r="C1667">
        <f t="shared" si="26"/>
        <v>2.2932170161105097</v>
      </c>
    </row>
    <row r="1668" spans="1:3" x14ac:dyDescent="0.15">
      <c r="A1668" s="22">
        <v>43550</v>
      </c>
      <c r="B1668">
        <v>5631.39</v>
      </c>
      <c r="C1668">
        <f t="shared" si="26"/>
        <v>2.3096884535879521</v>
      </c>
    </row>
    <row r="1669" spans="1:3" x14ac:dyDescent="0.15">
      <c r="A1669" s="22">
        <v>43551</v>
      </c>
      <c r="B1669">
        <v>5605.32</v>
      </c>
      <c r="C1669">
        <f t="shared" si="26"/>
        <v>2.298995964169702</v>
      </c>
    </row>
    <row r="1670" spans="1:3" x14ac:dyDescent="0.15">
      <c r="A1670" s="22">
        <v>43552</v>
      </c>
      <c r="B1670">
        <v>5626.32</v>
      </c>
      <c r="C1670">
        <f t="shared" si="26"/>
        <v>2.3076090166354954</v>
      </c>
    </row>
    <row r="1671" spans="1:3" x14ac:dyDescent="0.15">
      <c r="A1671" s="22">
        <v>43553</v>
      </c>
      <c r="B1671">
        <v>5664.46</v>
      </c>
      <c r="C1671">
        <f t="shared" si="26"/>
        <v>2.3232519604947997</v>
      </c>
    </row>
    <row r="1672" spans="1:3" x14ac:dyDescent="0.15">
      <c r="A1672" s="22">
        <v>43556</v>
      </c>
      <c r="B1672">
        <v>5730.04</v>
      </c>
      <c r="C1672">
        <f t="shared" si="26"/>
        <v>2.3501492929094074</v>
      </c>
    </row>
    <row r="1673" spans="1:3" x14ac:dyDescent="0.15">
      <c r="A1673" s="22">
        <v>43557</v>
      </c>
      <c r="B1673">
        <v>5730.35</v>
      </c>
      <c r="C1673">
        <f t="shared" si="26"/>
        <v>2.3502764379696166</v>
      </c>
    </row>
    <row r="1674" spans="1:3" x14ac:dyDescent="0.15">
      <c r="A1674" s="22">
        <v>43558</v>
      </c>
      <c r="B1674">
        <v>5742.67</v>
      </c>
      <c r="C1674">
        <f t="shared" si="26"/>
        <v>2.355329428749549</v>
      </c>
    </row>
    <row r="1675" spans="1:3" x14ac:dyDescent="0.15">
      <c r="A1675" s="22">
        <v>43559</v>
      </c>
      <c r="B1675">
        <v>5755.96</v>
      </c>
      <c r="C1675">
        <f t="shared" si="26"/>
        <v>2.3607802605243298</v>
      </c>
    </row>
    <row r="1676" spans="1:3" x14ac:dyDescent="0.15">
      <c r="A1676" s="22">
        <v>43560</v>
      </c>
      <c r="B1676">
        <v>5782.7</v>
      </c>
      <c r="C1676">
        <f t="shared" si="26"/>
        <v>2.3717475473307741</v>
      </c>
    </row>
    <row r="1677" spans="1:3" x14ac:dyDescent="0.15">
      <c r="A1677" s="22">
        <v>43563</v>
      </c>
      <c r="B1677">
        <v>5788.86</v>
      </c>
      <c r="C1677">
        <f t="shared" si="26"/>
        <v>2.3742740427207401</v>
      </c>
    </row>
    <row r="1678" spans="1:3" x14ac:dyDescent="0.15">
      <c r="A1678" s="22">
        <v>43564</v>
      </c>
      <c r="B1678">
        <v>5755.49</v>
      </c>
      <c r="C1678">
        <f t="shared" si="26"/>
        <v>2.3605874922072383</v>
      </c>
    </row>
    <row r="1679" spans="1:3" x14ac:dyDescent="0.15">
      <c r="A1679" s="22">
        <v>43565</v>
      </c>
      <c r="B1679">
        <v>5775.99</v>
      </c>
      <c r="C1679">
        <f t="shared" si="26"/>
        <v>2.3689954719952753</v>
      </c>
    </row>
    <row r="1680" spans="1:3" x14ac:dyDescent="0.15">
      <c r="A1680" s="22">
        <v>43566</v>
      </c>
      <c r="B1680">
        <v>5776.28</v>
      </c>
      <c r="C1680">
        <f t="shared" si="26"/>
        <v>2.3691144141483744</v>
      </c>
    </row>
    <row r="1681" spans="1:3" x14ac:dyDescent="0.15">
      <c r="A1681" s="22">
        <v>43567</v>
      </c>
      <c r="B1681">
        <v>5815.04</v>
      </c>
      <c r="C1681">
        <f t="shared" si="26"/>
        <v>2.3850116481280965</v>
      </c>
    </row>
    <row r="1682" spans="1:3" x14ac:dyDescent="0.15">
      <c r="A1682" s="22">
        <v>43570</v>
      </c>
      <c r="B1682">
        <v>5811.51</v>
      </c>
      <c r="C1682">
        <f t="shared" si="26"/>
        <v>2.3835638350231325</v>
      </c>
    </row>
    <row r="1683" spans="1:3" x14ac:dyDescent="0.15">
      <c r="A1683" s="22">
        <v>43571</v>
      </c>
      <c r="B1683">
        <v>5814.46</v>
      </c>
      <c r="C1683">
        <f t="shared" si="26"/>
        <v>2.3847737638218987</v>
      </c>
    </row>
    <row r="1684" spans="1:3" x14ac:dyDescent="0.15">
      <c r="A1684" s="22">
        <v>43572</v>
      </c>
      <c r="B1684">
        <v>5801.83</v>
      </c>
      <c r="C1684">
        <f t="shared" si="26"/>
        <v>2.3795936279817567</v>
      </c>
    </row>
    <row r="1685" spans="1:3" x14ac:dyDescent="0.15">
      <c r="A1685" s="22">
        <v>43573</v>
      </c>
      <c r="B1685">
        <v>5811.13</v>
      </c>
      <c r="C1685">
        <f t="shared" si="26"/>
        <v>2.383407979788037</v>
      </c>
    </row>
    <row r="1686" spans="1:3" x14ac:dyDescent="0.15">
      <c r="A1686" s="22">
        <v>43577</v>
      </c>
      <c r="B1686">
        <v>5817.16</v>
      </c>
      <c r="C1686">
        <f t="shared" si="26"/>
        <v>2.3858811562817865</v>
      </c>
    </row>
    <row r="1687" spans="1:3" x14ac:dyDescent="0.15">
      <c r="A1687" s="22">
        <v>43578</v>
      </c>
      <c r="B1687">
        <v>5868.88</v>
      </c>
      <c r="C1687">
        <f t="shared" si="26"/>
        <v>2.4070938740689702</v>
      </c>
    </row>
    <row r="1688" spans="1:3" x14ac:dyDescent="0.15">
      <c r="A1688" s="22">
        <v>43579</v>
      </c>
      <c r="B1688">
        <v>5856.03</v>
      </c>
      <c r="C1688">
        <f t="shared" si="26"/>
        <v>2.4018235062506155</v>
      </c>
    </row>
    <row r="1689" spans="1:3" x14ac:dyDescent="0.15">
      <c r="A1689" s="22">
        <v>43580</v>
      </c>
      <c r="B1689">
        <v>5853.87</v>
      </c>
      <c r="C1689">
        <f t="shared" si="26"/>
        <v>2.400937592282705</v>
      </c>
    </row>
    <row r="1690" spans="1:3" x14ac:dyDescent="0.15">
      <c r="A1690" s="22">
        <v>43581</v>
      </c>
      <c r="B1690">
        <v>5881.48</v>
      </c>
      <c r="C1690">
        <f t="shared" si="26"/>
        <v>2.4122617055484463</v>
      </c>
    </row>
    <row r="1691" spans="1:3" x14ac:dyDescent="0.15">
      <c r="A1691" s="22">
        <v>43584</v>
      </c>
      <c r="B1691">
        <v>5888.05</v>
      </c>
      <c r="C1691">
        <f t="shared" si="26"/>
        <v>2.4149563605341737</v>
      </c>
    </row>
    <row r="1692" spans="1:3" x14ac:dyDescent="0.15">
      <c r="A1692" s="22">
        <v>43585</v>
      </c>
      <c r="B1692">
        <v>5893.81</v>
      </c>
      <c r="C1692">
        <f t="shared" si="26"/>
        <v>2.4173187977819341</v>
      </c>
    </row>
    <row r="1693" spans="1:3" x14ac:dyDescent="0.15">
      <c r="A1693" s="22">
        <v>43586</v>
      </c>
      <c r="B1693">
        <v>5849.65</v>
      </c>
      <c r="C1693">
        <f t="shared" si="26"/>
        <v>2.3992067788824358</v>
      </c>
    </row>
    <row r="1694" spans="1:3" x14ac:dyDescent="0.15">
      <c r="A1694" s="22">
        <v>43587</v>
      </c>
      <c r="B1694">
        <v>5837.46</v>
      </c>
      <c r="C1694">
        <f t="shared" si="26"/>
        <v>2.3942071069987203</v>
      </c>
    </row>
    <row r="1695" spans="1:3" x14ac:dyDescent="0.15">
      <c r="A1695" s="22">
        <v>43588</v>
      </c>
      <c r="B1695">
        <v>5894.3</v>
      </c>
      <c r="C1695">
        <f t="shared" si="26"/>
        <v>2.4175197690061361</v>
      </c>
    </row>
    <row r="1696" spans="1:3" x14ac:dyDescent="0.15">
      <c r="A1696" s="22">
        <v>43591</v>
      </c>
      <c r="B1696">
        <v>5868.45</v>
      </c>
      <c r="C1696">
        <f t="shared" si="26"/>
        <v>2.4069175115660992</v>
      </c>
    </row>
    <row r="1697" spans="1:3" x14ac:dyDescent="0.15">
      <c r="A1697" s="22">
        <v>43592</v>
      </c>
      <c r="B1697">
        <v>5771.59</v>
      </c>
      <c r="C1697">
        <f t="shared" si="26"/>
        <v>2.3671908324310138</v>
      </c>
    </row>
    <row r="1698" spans="1:3" x14ac:dyDescent="0.15">
      <c r="A1698" s="22">
        <v>43593</v>
      </c>
      <c r="B1698">
        <v>5762.48</v>
      </c>
      <c r="C1698">
        <f t="shared" si="26"/>
        <v>2.3634544082422808</v>
      </c>
    </row>
    <row r="1699" spans="1:3" x14ac:dyDescent="0.15">
      <c r="A1699" s="22">
        <v>43594</v>
      </c>
      <c r="B1699">
        <v>5747.08</v>
      </c>
      <c r="C1699">
        <f t="shared" si="26"/>
        <v>2.3571381697673655</v>
      </c>
    </row>
    <row r="1700" spans="1:3" x14ac:dyDescent="0.15">
      <c r="A1700" s="22">
        <v>43595</v>
      </c>
      <c r="B1700">
        <v>5770.44</v>
      </c>
      <c r="C1700">
        <f t="shared" si="26"/>
        <v>2.3667191652721726</v>
      </c>
    </row>
    <row r="1701" spans="1:3" x14ac:dyDescent="0.15">
      <c r="A1701" s="22">
        <v>43598</v>
      </c>
      <c r="B1701">
        <v>5631.41</v>
      </c>
      <c r="C1701">
        <f t="shared" si="26"/>
        <v>2.3096966564950621</v>
      </c>
    </row>
    <row r="1702" spans="1:3" x14ac:dyDescent="0.15">
      <c r="A1702" s="22">
        <v>43599</v>
      </c>
      <c r="B1702">
        <v>5677.2</v>
      </c>
      <c r="C1702">
        <f t="shared" si="26"/>
        <v>2.3284772123240476</v>
      </c>
    </row>
    <row r="1703" spans="1:3" x14ac:dyDescent="0.15">
      <c r="A1703" s="22">
        <v>43600</v>
      </c>
      <c r="B1703">
        <v>5711.49</v>
      </c>
      <c r="C1703">
        <f t="shared" si="26"/>
        <v>2.3425410965646227</v>
      </c>
    </row>
    <row r="1704" spans="1:3" x14ac:dyDescent="0.15">
      <c r="A1704" s="22">
        <v>43601</v>
      </c>
      <c r="B1704">
        <v>5763.95</v>
      </c>
      <c r="C1704">
        <f t="shared" si="26"/>
        <v>2.3640573219148866</v>
      </c>
    </row>
    <row r="1705" spans="1:3" x14ac:dyDescent="0.15">
      <c r="A1705" s="22">
        <v>43602</v>
      </c>
      <c r="B1705">
        <v>5730.89</v>
      </c>
      <c r="C1705">
        <f t="shared" si="26"/>
        <v>2.3504979164615944</v>
      </c>
    </row>
    <row r="1706" spans="1:3" x14ac:dyDescent="0.15">
      <c r="A1706" s="22">
        <v>43605</v>
      </c>
      <c r="B1706">
        <v>5692.3</v>
      </c>
      <c r="C1706">
        <f t="shared" si="26"/>
        <v>2.3346704071923092</v>
      </c>
    </row>
    <row r="1707" spans="1:3" x14ac:dyDescent="0.15">
      <c r="A1707" s="22">
        <v>43606</v>
      </c>
      <c r="B1707">
        <v>5740.81</v>
      </c>
      <c r="C1707">
        <f t="shared" si="26"/>
        <v>2.3545665583882931</v>
      </c>
    </row>
    <row r="1708" spans="1:3" x14ac:dyDescent="0.15">
      <c r="A1708" s="22">
        <v>43607</v>
      </c>
      <c r="B1708">
        <v>5724.71</v>
      </c>
      <c r="C1708">
        <f t="shared" si="26"/>
        <v>2.3479632181645176</v>
      </c>
    </row>
    <row r="1709" spans="1:3" x14ac:dyDescent="0.15">
      <c r="A1709" s="22">
        <v>43608</v>
      </c>
      <c r="B1709">
        <v>5657.1</v>
      </c>
      <c r="C1709">
        <f t="shared" si="26"/>
        <v>2.3202332906782166</v>
      </c>
    </row>
    <row r="1710" spans="1:3" x14ac:dyDescent="0.15">
      <c r="A1710" s="22">
        <v>43609</v>
      </c>
      <c r="B1710">
        <v>5665.6</v>
      </c>
      <c r="C1710">
        <f t="shared" si="26"/>
        <v>2.3237195262000858</v>
      </c>
    </row>
    <row r="1711" spans="1:3" x14ac:dyDescent="0.15">
      <c r="A1711" s="22">
        <v>43613</v>
      </c>
      <c r="B1711">
        <v>5618.18</v>
      </c>
      <c r="C1711">
        <f t="shared" si="26"/>
        <v>2.3042704334416118</v>
      </c>
    </row>
    <row r="1712" spans="1:3" x14ac:dyDescent="0.15">
      <c r="A1712" s="22">
        <v>43614</v>
      </c>
      <c r="B1712">
        <v>5579.51</v>
      </c>
      <c r="C1712">
        <f t="shared" si="26"/>
        <v>2.2884101125438856</v>
      </c>
    </row>
    <row r="1713" spans="1:3" x14ac:dyDescent="0.15">
      <c r="A1713" s="22">
        <v>43615</v>
      </c>
      <c r="B1713">
        <v>5591.97</v>
      </c>
      <c r="C1713">
        <f t="shared" si="26"/>
        <v>2.2935205236735903</v>
      </c>
    </row>
    <row r="1714" spans="1:3" x14ac:dyDescent="0.15">
      <c r="A1714" s="22">
        <v>43616</v>
      </c>
      <c r="B1714">
        <v>5519.27</v>
      </c>
      <c r="C1714">
        <f t="shared" si="26"/>
        <v>2.2637029563277227</v>
      </c>
    </row>
    <row r="1715" spans="1:3" x14ac:dyDescent="0.15">
      <c r="A1715" s="22">
        <v>43619</v>
      </c>
      <c r="B1715">
        <v>5504.05</v>
      </c>
      <c r="C1715">
        <f t="shared" si="26"/>
        <v>2.2574605440167996</v>
      </c>
    </row>
    <row r="1716" spans="1:3" x14ac:dyDescent="0.15">
      <c r="A1716" s="22">
        <v>43620</v>
      </c>
      <c r="B1716">
        <v>5622.31</v>
      </c>
      <c r="C1716">
        <f t="shared" si="26"/>
        <v>2.305964333759885</v>
      </c>
    </row>
    <row r="1717" spans="1:3" x14ac:dyDescent="0.15">
      <c r="A1717" s="22">
        <v>43621</v>
      </c>
      <c r="B1717">
        <v>5668.89</v>
      </c>
      <c r="C1717">
        <f t="shared" si="26"/>
        <v>2.3250689044197266</v>
      </c>
    </row>
    <row r="1718" spans="1:3" x14ac:dyDescent="0.15">
      <c r="A1718" s="22">
        <v>43622</v>
      </c>
      <c r="B1718">
        <v>5705.22</v>
      </c>
      <c r="C1718">
        <f t="shared" si="26"/>
        <v>2.3399694851855499</v>
      </c>
    </row>
    <row r="1719" spans="1:3" x14ac:dyDescent="0.15">
      <c r="A1719" s="22">
        <v>43623</v>
      </c>
      <c r="B1719">
        <v>5765.66</v>
      </c>
      <c r="C1719">
        <f t="shared" si="26"/>
        <v>2.3647586704728156</v>
      </c>
    </row>
    <row r="1720" spans="1:3" x14ac:dyDescent="0.15">
      <c r="A1720" s="22">
        <v>43626</v>
      </c>
      <c r="B1720">
        <v>5792.56</v>
      </c>
      <c r="C1720">
        <f t="shared" si="26"/>
        <v>2.3757915805361423</v>
      </c>
    </row>
    <row r="1721" spans="1:3" x14ac:dyDescent="0.15">
      <c r="A1721" s="22">
        <v>43627</v>
      </c>
      <c r="B1721">
        <v>5790.83</v>
      </c>
      <c r="C1721">
        <f t="shared" si="26"/>
        <v>2.3750820290711028</v>
      </c>
    </row>
    <row r="1722" spans="1:3" x14ac:dyDescent="0.15">
      <c r="A1722" s="22">
        <v>43628</v>
      </c>
      <c r="B1722">
        <v>5779.12</v>
      </c>
      <c r="C1722">
        <f t="shared" si="26"/>
        <v>2.3702792269580342</v>
      </c>
    </row>
    <row r="1723" spans="1:3" x14ac:dyDescent="0.15">
      <c r="A1723" s="22">
        <v>43629</v>
      </c>
      <c r="B1723">
        <v>5804.53</v>
      </c>
      <c r="C1723">
        <f t="shared" si="26"/>
        <v>2.3807010204416446</v>
      </c>
    </row>
    <row r="1724" spans="1:3" x14ac:dyDescent="0.15">
      <c r="A1724" s="22">
        <v>43630</v>
      </c>
      <c r="B1724">
        <v>5795.96</v>
      </c>
      <c r="C1724">
        <f t="shared" si="26"/>
        <v>2.3771860747448899</v>
      </c>
    </row>
    <row r="1725" spans="1:3" x14ac:dyDescent="0.15">
      <c r="A1725" s="22">
        <v>43633</v>
      </c>
      <c r="B1725">
        <v>5801.4</v>
      </c>
      <c r="C1725">
        <f t="shared" si="26"/>
        <v>2.3794172654788857</v>
      </c>
    </row>
    <row r="1726" spans="1:3" x14ac:dyDescent="0.15">
      <c r="A1726" s="22">
        <v>43634</v>
      </c>
      <c r="B1726">
        <v>5857.95</v>
      </c>
      <c r="C1726">
        <f t="shared" si="26"/>
        <v>2.4026109853332023</v>
      </c>
    </row>
    <row r="1727" spans="1:3" x14ac:dyDescent="0.15">
      <c r="A1727" s="22">
        <v>43635</v>
      </c>
      <c r="B1727">
        <v>5875.45</v>
      </c>
      <c r="C1727">
        <f t="shared" si="26"/>
        <v>2.4097885290546972</v>
      </c>
    </row>
    <row r="1728" spans="1:3" x14ac:dyDescent="0.15">
      <c r="A1728" s="22">
        <v>43636</v>
      </c>
      <c r="B1728">
        <v>5931.66</v>
      </c>
      <c r="C1728">
        <f t="shared" si="26"/>
        <v>2.4328427994881388</v>
      </c>
    </row>
    <row r="1729" spans="1:3" x14ac:dyDescent="0.15">
      <c r="A1729" s="22">
        <v>43637</v>
      </c>
      <c r="B1729">
        <v>5924.54</v>
      </c>
      <c r="C1729">
        <f t="shared" si="26"/>
        <v>2.4299225645568789</v>
      </c>
    </row>
    <row r="1730" spans="1:3" x14ac:dyDescent="0.15">
      <c r="A1730" s="22">
        <v>43640</v>
      </c>
      <c r="B1730">
        <v>5914.29</v>
      </c>
      <c r="C1730">
        <f t="shared" ref="C1730:C1793" si="27">(B1730 / $B$2)</f>
        <v>2.4257185746628607</v>
      </c>
    </row>
    <row r="1731" spans="1:3" x14ac:dyDescent="0.15">
      <c r="A1731" s="22">
        <v>43641</v>
      </c>
      <c r="B1731">
        <v>5858.13</v>
      </c>
      <c r="C1731">
        <f t="shared" si="27"/>
        <v>2.4026848114971946</v>
      </c>
    </row>
    <row r="1732" spans="1:3" x14ac:dyDescent="0.15">
      <c r="A1732" s="22">
        <v>43642</v>
      </c>
      <c r="B1732">
        <v>5850.9</v>
      </c>
      <c r="C1732">
        <f t="shared" si="27"/>
        <v>2.3997194605768284</v>
      </c>
    </row>
    <row r="1733" spans="1:3" x14ac:dyDescent="0.15">
      <c r="A1733" s="22">
        <v>43643</v>
      </c>
      <c r="B1733">
        <v>5874.15</v>
      </c>
      <c r="C1733">
        <f t="shared" si="27"/>
        <v>2.4092553400925287</v>
      </c>
    </row>
    <row r="1734" spans="1:3" x14ac:dyDescent="0.15">
      <c r="A1734" s="22">
        <v>43644</v>
      </c>
      <c r="B1734">
        <v>5908.25</v>
      </c>
      <c r="C1734">
        <f t="shared" si="27"/>
        <v>2.4232412967155561</v>
      </c>
    </row>
    <row r="1735" spans="1:3" x14ac:dyDescent="0.15">
      <c r="A1735" s="22">
        <v>43647</v>
      </c>
      <c r="B1735">
        <v>5953.63</v>
      </c>
      <c r="C1735">
        <f t="shared" si="27"/>
        <v>2.4418536929487811</v>
      </c>
    </row>
    <row r="1736" spans="1:3" x14ac:dyDescent="0.15">
      <c r="A1736" s="22">
        <v>43648</v>
      </c>
      <c r="B1736">
        <v>5971.29</v>
      </c>
      <c r="C1736">
        <f t="shared" si="27"/>
        <v>2.4490968599271583</v>
      </c>
    </row>
    <row r="1737" spans="1:3" x14ac:dyDescent="0.15">
      <c r="A1737" s="22">
        <v>43649</v>
      </c>
      <c r="B1737">
        <v>6018.54</v>
      </c>
      <c r="C1737">
        <f t="shared" si="27"/>
        <v>2.4684762279751946</v>
      </c>
    </row>
    <row r="1738" spans="1:3" x14ac:dyDescent="0.15">
      <c r="A1738" s="22">
        <v>43651</v>
      </c>
      <c r="B1738">
        <v>6008.31</v>
      </c>
      <c r="C1738">
        <f t="shared" si="27"/>
        <v>2.4642804409882864</v>
      </c>
    </row>
    <row r="1739" spans="1:3" x14ac:dyDescent="0.15">
      <c r="A1739" s="22">
        <v>43654</v>
      </c>
      <c r="B1739">
        <v>5979.34</v>
      </c>
      <c r="C1739">
        <f t="shared" si="27"/>
        <v>2.4523985300390461</v>
      </c>
    </row>
    <row r="1740" spans="1:3" x14ac:dyDescent="0.15">
      <c r="A1740" s="22">
        <v>43655</v>
      </c>
      <c r="B1740">
        <v>5988.48</v>
      </c>
      <c r="C1740">
        <f t="shared" si="27"/>
        <v>2.4561472585884436</v>
      </c>
    </row>
    <row r="1741" spans="1:3" x14ac:dyDescent="0.15">
      <c r="A1741" s="22">
        <v>43656</v>
      </c>
      <c r="B1741">
        <v>6015.56</v>
      </c>
      <c r="C1741">
        <f t="shared" si="27"/>
        <v>2.467253994815763</v>
      </c>
    </row>
    <row r="1742" spans="1:3" x14ac:dyDescent="0.15">
      <c r="A1742" s="22">
        <v>43657</v>
      </c>
      <c r="B1742">
        <v>6029.33</v>
      </c>
      <c r="C1742">
        <f t="shared" si="27"/>
        <v>2.4729016963611907</v>
      </c>
    </row>
    <row r="1743" spans="1:3" x14ac:dyDescent="0.15">
      <c r="A1743" s="22">
        <v>43658</v>
      </c>
      <c r="B1743">
        <v>6057.77</v>
      </c>
      <c r="C1743">
        <f t="shared" si="27"/>
        <v>2.4845662302720086</v>
      </c>
    </row>
    <row r="1744" spans="1:3" x14ac:dyDescent="0.15">
      <c r="A1744" s="22">
        <v>43661</v>
      </c>
      <c r="B1744">
        <v>6058.83</v>
      </c>
      <c r="C1744">
        <f t="shared" si="27"/>
        <v>2.4850009843488534</v>
      </c>
    </row>
    <row r="1745" spans="1:3" x14ac:dyDescent="0.15">
      <c r="A1745" s="22">
        <v>43662</v>
      </c>
      <c r="B1745">
        <v>6038.4</v>
      </c>
      <c r="C1745">
        <f t="shared" si="27"/>
        <v>2.4766217147357024</v>
      </c>
    </row>
    <row r="1746" spans="1:3" x14ac:dyDescent="0.15">
      <c r="A1746" s="22">
        <v>43663</v>
      </c>
      <c r="B1746">
        <v>5999.05</v>
      </c>
      <c r="C1746">
        <f t="shared" si="27"/>
        <v>2.460482494996227</v>
      </c>
    </row>
    <row r="1747" spans="1:3" x14ac:dyDescent="0.15">
      <c r="A1747" s="22">
        <v>43664</v>
      </c>
      <c r="B1747">
        <v>6021.15</v>
      </c>
      <c r="C1747">
        <f t="shared" si="27"/>
        <v>2.4695467073530861</v>
      </c>
    </row>
    <row r="1748" spans="1:3" x14ac:dyDescent="0.15">
      <c r="A1748" s="22">
        <v>43665</v>
      </c>
      <c r="B1748">
        <v>5984.2</v>
      </c>
      <c r="C1748">
        <f t="shared" si="27"/>
        <v>2.454391836466844</v>
      </c>
    </row>
    <row r="1749" spans="1:3" x14ac:dyDescent="0.15">
      <c r="A1749" s="22">
        <v>43668</v>
      </c>
      <c r="B1749">
        <v>6001.28</v>
      </c>
      <c r="C1749">
        <f t="shared" si="27"/>
        <v>2.4613971191390229</v>
      </c>
    </row>
    <row r="1750" spans="1:3" x14ac:dyDescent="0.15">
      <c r="A1750" s="22">
        <v>43669</v>
      </c>
      <c r="B1750">
        <v>6042.48</v>
      </c>
      <c r="C1750">
        <f t="shared" si="27"/>
        <v>2.4782951077861992</v>
      </c>
    </row>
    <row r="1751" spans="1:3" x14ac:dyDescent="0.15">
      <c r="A1751" s="22">
        <v>43670</v>
      </c>
      <c r="B1751">
        <v>6071.05</v>
      </c>
      <c r="C1751">
        <f t="shared" si="27"/>
        <v>2.4900129605932344</v>
      </c>
    </row>
    <row r="1752" spans="1:3" x14ac:dyDescent="0.15">
      <c r="A1752" s="22">
        <v>43671</v>
      </c>
      <c r="B1752">
        <v>6039.13</v>
      </c>
      <c r="C1752">
        <f t="shared" si="27"/>
        <v>2.4769211208452275</v>
      </c>
    </row>
    <row r="1753" spans="1:3" x14ac:dyDescent="0.15">
      <c r="A1753" s="22">
        <v>43672</v>
      </c>
      <c r="B1753">
        <v>6083.82</v>
      </c>
      <c r="C1753">
        <f t="shared" si="27"/>
        <v>2.4952505167831478</v>
      </c>
    </row>
    <row r="1754" spans="1:3" x14ac:dyDescent="0.15">
      <c r="A1754" s="22">
        <v>43675</v>
      </c>
      <c r="B1754">
        <v>6074.01</v>
      </c>
      <c r="C1754">
        <f t="shared" si="27"/>
        <v>2.491226990845556</v>
      </c>
    </row>
    <row r="1755" spans="1:3" x14ac:dyDescent="0.15">
      <c r="A1755" s="22">
        <v>43676</v>
      </c>
      <c r="B1755">
        <v>6058.96</v>
      </c>
      <c r="C1755">
        <f t="shared" si="27"/>
        <v>2.4850543032450703</v>
      </c>
    </row>
    <row r="1756" spans="1:3" x14ac:dyDescent="0.15">
      <c r="A1756" s="22">
        <v>43677</v>
      </c>
      <c r="B1756">
        <v>5993.17</v>
      </c>
      <c r="C1756">
        <f t="shared" si="27"/>
        <v>2.4580708403058047</v>
      </c>
    </row>
    <row r="1757" spans="1:3" x14ac:dyDescent="0.15">
      <c r="A1757" s="22">
        <v>43678</v>
      </c>
      <c r="B1757">
        <v>5939.83</v>
      </c>
      <c r="C1757">
        <f t="shared" si="27"/>
        <v>2.4361936870426879</v>
      </c>
    </row>
    <row r="1758" spans="1:3" x14ac:dyDescent="0.15">
      <c r="A1758" s="22">
        <v>43679</v>
      </c>
      <c r="B1758">
        <v>5897.1</v>
      </c>
      <c r="C1758">
        <f t="shared" si="27"/>
        <v>2.4186681760015754</v>
      </c>
    </row>
    <row r="1759" spans="1:3" x14ac:dyDescent="0.15">
      <c r="A1759" s="22">
        <v>43682</v>
      </c>
      <c r="B1759">
        <v>5721.8</v>
      </c>
      <c r="C1759">
        <f t="shared" si="27"/>
        <v>2.3467696951799719</v>
      </c>
    </row>
    <row r="1760" spans="1:3" x14ac:dyDescent="0.15">
      <c r="A1760" s="22">
        <v>43683</v>
      </c>
      <c r="B1760">
        <v>5796.72</v>
      </c>
      <c r="C1760">
        <f t="shared" si="27"/>
        <v>2.3774977852150805</v>
      </c>
    </row>
    <row r="1761" spans="1:3" x14ac:dyDescent="0.15">
      <c r="A1761" s="22">
        <v>43684</v>
      </c>
      <c r="B1761">
        <v>5801.32</v>
      </c>
      <c r="C1761">
        <f t="shared" si="27"/>
        <v>2.3793844538504447</v>
      </c>
    </row>
    <row r="1762" spans="1:3" x14ac:dyDescent="0.15">
      <c r="A1762" s="22">
        <v>43685</v>
      </c>
      <c r="B1762">
        <v>5911.66</v>
      </c>
      <c r="C1762">
        <f t="shared" si="27"/>
        <v>2.4246398923778587</v>
      </c>
    </row>
    <row r="1763" spans="1:3" x14ac:dyDescent="0.15">
      <c r="A1763" s="22">
        <v>43686</v>
      </c>
      <c r="B1763">
        <v>5873.47</v>
      </c>
      <c r="C1763">
        <f t="shared" si="27"/>
        <v>2.4089764412507795</v>
      </c>
    </row>
    <row r="1764" spans="1:3" x14ac:dyDescent="0.15">
      <c r="A1764" s="22">
        <v>43689</v>
      </c>
      <c r="B1764">
        <v>5802.92</v>
      </c>
      <c r="C1764">
        <f t="shared" si="27"/>
        <v>2.3800406864192674</v>
      </c>
    </row>
    <row r="1765" spans="1:3" x14ac:dyDescent="0.15">
      <c r="A1765" s="22">
        <v>43690</v>
      </c>
      <c r="B1765">
        <v>5890.16</v>
      </c>
      <c r="C1765">
        <f t="shared" si="27"/>
        <v>2.4158217672343079</v>
      </c>
    </row>
    <row r="1766" spans="1:3" x14ac:dyDescent="0.15">
      <c r="A1766" s="22">
        <v>43691</v>
      </c>
      <c r="B1766">
        <v>5719.3</v>
      </c>
      <c r="C1766">
        <f t="shared" si="27"/>
        <v>2.3457443317911868</v>
      </c>
    </row>
    <row r="1767" spans="1:3" x14ac:dyDescent="0.15">
      <c r="A1767" s="22">
        <v>43692</v>
      </c>
      <c r="B1767">
        <v>5734.49</v>
      </c>
      <c r="C1767">
        <f t="shared" si="27"/>
        <v>2.3519744397414444</v>
      </c>
    </row>
    <row r="1768" spans="1:3" x14ac:dyDescent="0.15">
      <c r="A1768" s="22">
        <v>43693</v>
      </c>
      <c r="B1768">
        <v>5818.17</v>
      </c>
      <c r="C1768">
        <f t="shared" si="27"/>
        <v>2.3862954030908554</v>
      </c>
    </row>
    <row r="1769" spans="1:3" x14ac:dyDescent="0.15">
      <c r="A1769" s="22">
        <v>43696</v>
      </c>
      <c r="B1769">
        <v>5888.93</v>
      </c>
      <c r="C1769">
        <f t="shared" si="27"/>
        <v>2.4153172884470258</v>
      </c>
    </row>
    <row r="1770" spans="1:3" x14ac:dyDescent="0.15">
      <c r="A1770" s="22">
        <v>43697</v>
      </c>
      <c r="B1770">
        <v>5842.76</v>
      </c>
      <c r="C1770">
        <f t="shared" si="27"/>
        <v>2.3963808773829447</v>
      </c>
    </row>
    <row r="1771" spans="1:3" x14ac:dyDescent="0.15">
      <c r="A1771" s="22">
        <v>43698</v>
      </c>
      <c r="B1771">
        <v>5891.19</v>
      </c>
      <c r="C1771">
        <f t="shared" si="27"/>
        <v>2.4162442169504872</v>
      </c>
    </row>
    <row r="1772" spans="1:3" x14ac:dyDescent="0.15">
      <c r="A1772" s="22">
        <v>43699</v>
      </c>
      <c r="B1772">
        <v>5888.37</v>
      </c>
      <c r="C1772">
        <f t="shared" si="27"/>
        <v>2.4150876070479379</v>
      </c>
    </row>
    <row r="1773" spans="1:3" x14ac:dyDescent="0.15">
      <c r="A1773" s="22">
        <v>43700</v>
      </c>
      <c r="B1773">
        <v>5735.63</v>
      </c>
      <c r="C1773">
        <f t="shared" si="27"/>
        <v>2.3524420054467305</v>
      </c>
    </row>
    <row r="1774" spans="1:3" x14ac:dyDescent="0.15">
      <c r="A1774" s="22">
        <v>43703</v>
      </c>
      <c r="B1774">
        <v>5799.34</v>
      </c>
      <c r="C1774">
        <f t="shared" si="27"/>
        <v>2.378572366046527</v>
      </c>
    </row>
    <row r="1775" spans="1:3" x14ac:dyDescent="0.15">
      <c r="A1775" s="22">
        <v>43704</v>
      </c>
      <c r="B1775">
        <v>5780.79</v>
      </c>
      <c r="C1775">
        <f t="shared" si="27"/>
        <v>2.3709641697017423</v>
      </c>
    </row>
    <row r="1776" spans="1:3" x14ac:dyDescent="0.15">
      <c r="A1776" s="22">
        <v>43705</v>
      </c>
      <c r="B1776">
        <v>5818.84</v>
      </c>
      <c r="C1776">
        <f t="shared" si="27"/>
        <v>2.3865702004790501</v>
      </c>
    </row>
    <row r="1777" spans="1:3" x14ac:dyDescent="0.15">
      <c r="A1777" s="22">
        <v>43706</v>
      </c>
      <c r="B1777">
        <v>5893.65</v>
      </c>
      <c r="C1777">
        <f t="shared" si="27"/>
        <v>2.4172531745250518</v>
      </c>
    </row>
    <row r="1778" spans="1:3" x14ac:dyDescent="0.15">
      <c r="A1778" s="22">
        <v>43707</v>
      </c>
      <c r="B1778">
        <v>5898.23</v>
      </c>
      <c r="C1778">
        <f t="shared" si="27"/>
        <v>2.4191316402533056</v>
      </c>
    </row>
    <row r="1779" spans="1:3" x14ac:dyDescent="0.15">
      <c r="A1779" s="22">
        <v>43711</v>
      </c>
      <c r="B1779">
        <v>5857.95</v>
      </c>
      <c r="C1779">
        <f t="shared" si="27"/>
        <v>2.4026109853332023</v>
      </c>
    </row>
    <row r="1780" spans="1:3" x14ac:dyDescent="0.15">
      <c r="A1780" s="22">
        <v>43712</v>
      </c>
      <c r="B1780">
        <v>5921.96</v>
      </c>
      <c r="C1780">
        <f t="shared" si="27"/>
        <v>2.4288643895396529</v>
      </c>
    </row>
    <row r="1781" spans="1:3" x14ac:dyDescent="0.15">
      <c r="A1781" s="22">
        <v>43713</v>
      </c>
      <c r="B1781">
        <v>6000.38</v>
      </c>
      <c r="C1781">
        <f t="shared" si="27"/>
        <v>2.4610279883190604</v>
      </c>
    </row>
    <row r="1782" spans="1:3" x14ac:dyDescent="0.15">
      <c r="A1782" s="22">
        <v>43714</v>
      </c>
      <c r="B1782">
        <v>6006.07</v>
      </c>
      <c r="C1782">
        <f t="shared" si="27"/>
        <v>2.4633617153919349</v>
      </c>
    </row>
    <row r="1783" spans="1:3" x14ac:dyDescent="0.15">
      <c r="A1783" s="22">
        <v>43717</v>
      </c>
      <c r="B1783">
        <v>6005.99</v>
      </c>
      <c r="C1783">
        <f t="shared" si="27"/>
        <v>2.463328903763494</v>
      </c>
    </row>
    <row r="1784" spans="1:3" x14ac:dyDescent="0.15">
      <c r="A1784" s="22">
        <v>43718</v>
      </c>
      <c r="B1784">
        <v>6008.12</v>
      </c>
      <c r="C1784">
        <f t="shared" si="27"/>
        <v>2.4642025133707386</v>
      </c>
    </row>
    <row r="1785" spans="1:3" x14ac:dyDescent="0.15">
      <c r="A1785" s="22">
        <v>43719</v>
      </c>
      <c r="B1785">
        <v>6051.87</v>
      </c>
      <c r="C1785">
        <f t="shared" si="27"/>
        <v>2.4821463726744759</v>
      </c>
    </row>
    <row r="1786" spans="1:3" x14ac:dyDescent="0.15">
      <c r="A1786" s="22">
        <v>43720</v>
      </c>
      <c r="B1786">
        <v>6070.23</v>
      </c>
      <c r="C1786">
        <f t="shared" si="27"/>
        <v>2.4896766414017129</v>
      </c>
    </row>
    <row r="1787" spans="1:3" x14ac:dyDescent="0.15">
      <c r="A1787" s="22">
        <v>43721</v>
      </c>
      <c r="B1787">
        <v>6067.5</v>
      </c>
      <c r="C1787">
        <f t="shared" si="27"/>
        <v>2.4885569445811595</v>
      </c>
    </row>
    <row r="1788" spans="1:3" x14ac:dyDescent="0.15">
      <c r="A1788" s="22">
        <v>43724</v>
      </c>
      <c r="B1788">
        <v>6048.67</v>
      </c>
      <c r="C1788">
        <f t="shared" si="27"/>
        <v>2.4808339075368311</v>
      </c>
    </row>
    <row r="1789" spans="1:3" x14ac:dyDescent="0.15">
      <c r="A1789" s="22">
        <v>43725</v>
      </c>
      <c r="B1789">
        <v>6064.31</v>
      </c>
      <c r="C1789">
        <f t="shared" si="27"/>
        <v>2.4872485808970701</v>
      </c>
    </row>
    <row r="1790" spans="1:3" x14ac:dyDescent="0.15">
      <c r="A1790" s="22">
        <v>43726</v>
      </c>
      <c r="B1790">
        <v>6066.42</v>
      </c>
      <c r="C1790">
        <f t="shared" si="27"/>
        <v>2.4881139875972047</v>
      </c>
    </row>
    <row r="1791" spans="1:3" x14ac:dyDescent="0.15">
      <c r="A1791" s="22">
        <v>43727</v>
      </c>
      <c r="B1791">
        <v>6066.9</v>
      </c>
      <c r="C1791">
        <f t="shared" si="27"/>
        <v>2.4883108573678512</v>
      </c>
    </row>
    <row r="1792" spans="1:3" x14ac:dyDescent="0.15">
      <c r="A1792" s="22">
        <v>43728</v>
      </c>
      <c r="B1792">
        <v>6037.5</v>
      </c>
      <c r="C1792">
        <f t="shared" si="27"/>
        <v>2.4762525839157399</v>
      </c>
    </row>
    <row r="1793" spans="1:3" x14ac:dyDescent="0.15">
      <c r="A1793" s="22">
        <v>43731</v>
      </c>
      <c r="B1793">
        <v>6036.9</v>
      </c>
      <c r="C1793">
        <f t="shared" si="27"/>
        <v>2.4760064967024316</v>
      </c>
    </row>
    <row r="1794" spans="1:3" x14ac:dyDescent="0.15">
      <c r="A1794" s="22">
        <v>43732</v>
      </c>
      <c r="B1794">
        <v>5986.58</v>
      </c>
      <c r="C1794">
        <f t="shared" ref="C1794:C1857" si="28">(B1794 / $B$2)</f>
        <v>2.4553679824129673</v>
      </c>
    </row>
    <row r="1795" spans="1:3" x14ac:dyDescent="0.15">
      <c r="A1795" s="22">
        <v>43733</v>
      </c>
      <c r="B1795">
        <v>6023.46</v>
      </c>
      <c r="C1795">
        <f t="shared" si="28"/>
        <v>2.4704941431243235</v>
      </c>
    </row>
    <row r="1796" spans="1:3" x14ac:dyDescent="0.15">
      <c r="A1796" s="22">
        <v>43734</v>
      </c>
      <c r="B1796">
        <v>6009.19</v>
      </c>
      <c r="C1796">
        <f t="shared" si="28"/>
        <v>2.4646413689011384</v>
      </c>
    </row>
    <row r="1797" spans="1:3" x14ac:dyDescent="0.15">
      <c r="A1797" s="22">
        <v>43735</v>
      </c>
      <c r="B1797">
        <v>5978.11</v>
      </c>
      <c r="C1797">
        <f t="shared" si="28"/>
        <v>2.4518940512517635</v>
      </c>
    </row>
    <row r="1798" spans="1:3" x14ac:dyDescent="0.15">
      <c r="A1798" s="22">
        <v>43738</v>
      </c>
      <c r="B1798">
        <v>6008.59</v>
      </c>
      <c r="C1798">
        <f t="shared" si="28"/>
        <v>2.4643952816878305</v>
      </c>
    </row>
    <row r="1799" spans="1:3" x14ac:dyDescent="0.15">
      <c r="A1799" s="22">
        <v>43739</v>
      </c>
      <c r="B1799">
        <v>5935.2</v>
      </c>
      <c r="C1799">
        <f t="shared" si="28"/>
        <v>2.4342947140466582</v>
      </c>
    </row>
    <row r="1800" spans="1:3" x14ac:dyDescent="0.15">
      <c r="A1800" s="22">
        <v>43740</v>
      </c>
      <c r="B1800">
        <v>5828.93</v>
      </c>
      <c r="C1800">
        <f t="shared" si="28"/>
        <v>2.3907085671161861</v>
      </c>
    </row>
    <row r="1801" spans="1:3" x14ac:dyDescent="0.15">
      <c r="A1801" s="22">
        <v>43741</v>
      </c>
      <c r="B1801">
        <v>5876.86</v>
      </c>
      <c r="C1801">
        <f t="shared" si="28"/>
        <v>2.4103668340059716</v>
      </c>
    </row>
    <row r="1802" spans="1:3" x14ac:dyDescent="0.15">
      <c r="A1802" s="22">
        <v>43742</v>
      </c>
      <c r="B1802">
        <v>5960.43</v>
      </c>
      <c r="C1802">
        <f t="shared" si="28"/>
        <v>2.4446426813662763</v>
      </c>
    </row>
    <row r="1803" spans="1:3" x14ac:dyDescent="0.15">
      <c r="A1803" s="22">
        <v>43745</v>
      </c>
      <c r="B1803">
        <v>5933.76</v>
      </c>
      <c r="C1803">
        <f t="shared" si="28"/>
        <v>2.4337041047347183</v>
      </c>
    </row>
    <row r="1804" spans="1:3" x14ac:dyDescent="0.15">
      <c r="A1804" s="22">
        <v>43746</v>
      </c>
      <c r="B1804">
        <v>5841.57</v>
      </c>
      <c r="C1804">
        <f t="shared" si="28"/>
        <v>2.3958928044098831</v>
      </c>
    </row>
    <row r="1805" spans="1:3" x14ac:dyDescent="0.15">
      <c r="A1805" s="22">
        <v>43747</v>
      </c>
      <c r="B1805">
        <v>5896.6</v>
      </c>
      <c r="C1805">
        <f t="shared" si="28"/>
        <v>2.4184631033238184</v>
      </c>
    </row>
    <row r="1806" spans="1:3" x14ac:dyDescent="0.15">
      <c r="A1806" s="22">
        <v>43748</v>
      </c>
      <c r="B1806">
        <v>5934.56</v>
      </c>
      <c r="C1806">
        <f t="shared" si="28"/>
        <v>2.4340322210191294</v>
      </c>
    </row>
    <row r="1807" spans="1:3" x14ac:dyDescent="0.15">
      <c r="A1807" s="22">
        <v>43749</v>
      </c>
      <c r="B1807">
        <v>6000.04</v>
      </c>
      <c r="C1807">
        <f t="shared" si="28"/>
        <v>2.4608885388981858</v>
      </c>
    </row>
    <row r="1808" spans="1:3" x14ac:dyDescent="0.15">
      <c r="A1808" s="22">
        <v>43752</v>
      </c>
      <c r="B1808">
        <v>5991.72</v>
      </c>
      <c r="C1808">
        <f t="shared" si="28"/>
        <v>2.4574761295403094</v>
      </c>
    </row>
    <row r="1809" spans="1:3" x14ac:dyDescent="0.15">
      <c r="A1809" s="22">
        <v>43753</v>
      </c>
      <c r="B1809">
        <v>6051.39</v>
      </c>
      <c r="C1809">
        <f t="shared" si="28"/>
        <v>2.4819495029038294</v>
      </c>
    </row>
    <row r="1810" spans="1:3" x14ac:dyDescent="0.15">
      <c r="A1810" s="22">
        <v>43754</v>
      </c>
      <c r="B1810">
        <v>6039.69</v>
      </c>
      <c r="C1810">
        <f t="shared" si="28"/>
        <v>2.4771508022443154</v>
      </c>
    </row>
    <row r="1811" spans="1:3" x14ac:dyDescent="0.15">
      <c r="A1811" s="22">
        <v>43755</v>
      </c>
      <c r="B1811">
        <v>6056.84</v>
      </c>
      <c r="C1811">
        <f t="shared" si="28"/>
        <v>2.4841847950913807</v>
      </c>
    </row>
    <row r="1812" spans="1:3" x14ac:dyDescent="0.15">
      <c r="A1812" s="22">
        <v>43756</v>
      </c>
      <c r="B1812">
        <v>6033.26</v>
      </c>
      <c r="C1812">
        <f t="shared" si="28"/>
        <v>2.4745135676083607</v>
      </c>
    </row>
    <row r="1813" spans="1:3" x14ac:dyDescent="0.15">
      <c r="A1813" s="22">
        <v>43759</v>
      </c>
      <c r="B1813">
        <v>6074.9</v>
      </c>
      <c r="C1813">
        <f t="shared" si="28"/>
        <v>2.491592020211963</v>
      </c>
    </row>
    <row r="1814" spans="1:3" x14ac:dyDescent="0.15">
      <c r="A1814" s="22">
        <v>43760</v>
      </c>
      <c r="B1814">
        <v>6053.42</v>
      </c>
      <c r="C1814">
        <f t="shared" si="28"/>
        <v>2.4827820979755226</v>
      </c>
    </row>
    <row r="1815" spans="1:3" x14ac:dyDescent="0.15">
      <c r="A1815" s="22">
        <v>43761</v>
      </c>
      <c r="B1815">
        <v>6070.87</v>
      </c>
      <c r="C1815">
        <f t="shared" si="28"/>
        <v>2.4899391344292416</v>
      </c>
    </row>
    <row r="1816" spans="1:3" x14ac:dyDescent="0.15">
      <c r="A1816" s="22">
        <v>43762</v>
      </c>
      <c r="B1816">
        <v>6082.54</v>
      </c>
      <c r="C1816">
        <f t="shared" si="28"/>
        <v>2.4947255307280902</v>
      </c>
    </row>
    <row r="1817" spans="1:3" x14ac:dyDescent="0.15">
      <c r="A1817" s="22">
        <v>43763</v>
      </c>
      <c r="B1817">
        <v>6107.42</v>
      </c>
      <c r="C1817">
        <f t="shared" si="28"/>
        <v>2.5049299471732782</v>
      </c>
    </row>
    <row r="1818" spans="1:3" x14ac:dyDescent="0.15">
      <c r="A1818" s="22">
        <v>43766</v>
      </c>
      <c r="B1818">
        <v>6141.51</v>
      </c>
      <c r="C1818">
        <f t="shared" si="28"/>
        <v>2.5189118023427506</v>
      </c>
    </row>
    <row r="1819" spans="1:3" x14ac:dyDescent="0.15">
      <c r="A1819" s="22">
        <v>43767</v>
      </c>
      <c r="B1819">
        <v>6136.47</v>
      </c>
      <c r="C1819">
        <f t="shared" si="28"/>
        <v>2.5168446697509599</v>
      </c>
    </row>
    <row r="1820" spans="1:3" x14ac:dyDescent="0.15">
      <c r="A1820" s="22">
        <v>43768</v>
      </c>
      <c r="B1820">
        <v>6156.93</v>
      </c>
      <c r="C1820">
        <f t="shared" si="28"/>
        <v>2.5252362437247764</v>
      </c>
    </row>
    <row r="1821" spans="1:3" x14ac:dyDescent="0.15">
      <c r="A1821" s="22">
        <v>43769</v>
      </c>
      <c r="B1821">
        <v>6138.73</v>
      </c>
      <c r="C1821">
        <f t="shared" si="28"/>
        <v>2.5177715982544213</v>
      </c>
    </row>
    <row r="1822" spans="1:3" x14ac:dyDescent="0.15">
      <c r="A1822" s="22">
        <v>43770</v>
      </c>
      <c r="B1822">
        <v>6198.59</v>
      </c>
      <c r="C1822">
        <f t="shared" si="28"/>
        <v>2.5423228992354892</v>
      </c>
    </row>
    <row r="1823" spans="1:3" x14ac:dyDescent="0.15">
      <c r="A1823" s="22">
        <v>43773</v>
      </c>
      <c r="B1823">
        <v>6221.63</v>
      </c>
      <c r="C1823">
        <f t="shared" si="28"/>
        <v>2.5517726482265317</v>
      </c>
    </row>
    <row r="1824" spans="1:3" x14ac:dyDescent="0.15">
      <c r="A1824" s="22">
        <v>43774</v>
      </c>
      <c r="B1824">
        <v>6214.28</v>
      </c>
      <c r="C1824">
        <f t="shared" si="28"/>
        <v>2.5487580798635037</v>
      </c>
    </row>
    <row r="1825" spans="1:3" x14ac:dyDescent="0.15">
      <c r="A1825" s="22">
        <v>43775</v>
      </c>
      <c r="B1825">
        <v>6219.1</v>
      </c>
      <c r="C1825">
        <f t="shared" si="28"/>
        <v>2.5507349804770816</v>
      </c>
    </row>
    <row r="1826" spans="1:3" x14ac:dyDescent="0.15">
      <c r="A1826" s="22">
        <v>43776</v>
      </c>
      <c r="B1826">
        <v>6238.99</v>
      </c>
      <c r="C1826">
        <f t="shared" si="28"/>
        <v>2.5588927715982543</v>
      </c>
    </row>
    <row r="1827" spans="1:3" x14ac:dyDescent="0.15">
      <c r="A1827" s="22">
        <v>43777</v>
      </c>
      <c r="B1827">
        <v>6256.11</v>
      </c>
      <c r="C1827">
        <f t="shared" si="28"/>
        <v>2.5659144600846542</v>
      </c>
    </row>
    <row r="1828" spans="1:3" x14ac:dyDescent="0.15">
      <c r="A1828" s="22">
        <v>43780</v>
      </c>
      <c r="B1828">
        <v>6243.81</v>
      </c>
      <c r="C1828">
        <f t="shared" si="28"/>
        <v>2.5608696722118323</v>
      </c>
    </row>
    <row r="1829" spans="1:3" x14ac:dyDescent="0.15">
      <c r="A1829" s="22">
        <v>43781</v>
      </c>
      <c r="B1829">
        <v>6253.91</v>
      </c>
      <c r="C1829">
        <f t="shared" si="28"/>
        <v>2.5650121403025232</v>
      </c>
    </row>
    <row r="1830" spans="1:3" x14ac:dyDescent="0.15">
      <c r="A1830" s="22">
        <v>43782</v>
      </c>
      <c r="B1830">
        <v>6258.58</v>
      </c>
      <c r="C1830">
        <f t="shared" si="28"/>
        <v>2.5669275191127738</v>
      </c>
    </row>
    <row r="1831" spans="1:3" x14ac:dyDescent="0.15">
      <c r="A1831" s="22">
        <v>43783</v>
      </c>
      <c r="B1831">
        <v>6265.42</v>
      </c>
      <c r="C1831">
        <f t="shared" si="28"/>
        <v>2.5697329133444895</v>
      </c>
    </row>
    <row r="1832" spans="1:3" x14ac:dyDescent="0.15">
      <c r="A1832" s="22">
        <v>43784</v>
      </c>
      <c r="B1832">
        <v>6314.74</v>
      </c>
      <c r="C1832">
        <f t="shared" si="28"/>
        <v>2.5899612822784395</v>
      </c>
    </row>
    <row r="1833" spans="1:3" x14ac:dyDescent="0.15">
      <c r="A1833" s="22">
        <v>43787</v>
      </c>
      <c r="B1833">
        <v>6318.02</v>
      </c>
      <c r="C1833">
        <f t="shared" si="28"/>
        <v>2.5913065590445257</v>
      </c>
    </row>
    <row r="1834" spans="1:3" x14ac:dyDescent="0.15">
      <c r="A1834" s="22">
        <v>43788</v>
      </c>
      <c r="B1834">
        <v>6314.66</v>
      </c>
      <c r="C1834">
        <f t="shared" si="28"/>
        <v>2.5899284706499985</v>
      </c>
    </row>
    <row r="1835" spans="1:3" x14ac:dyDescent="0.15">
      <c r="A1835" s="22">
        <v>43789</v>
      </c>
      <c r="B1835">
        <v>6292.17</v>
      </c>
      <c r="C1835">
        <f t="shared" si="28"/>
        <v>2.5807043016044888</v>
      </c>
    </row>
    <row r="1836" spans="1:3" x14ac:dyDescent="0.15">
      <c r="A1836" s="22">
        <v>43790</v>
      </c>
      <c r="B1836">
        <v>6282.59</v>
      </c>
      <c r="C1836">
        <f t="shared" si="28"/>
        <v>2.5767751090986648</v>
      </c>
    </row>
    <row r="1837" spans="1:3" x14ac:dyDescent="0.15">
      <c r="A1837" s="22">
        <v>43791</v>
      </c>
      <c r="B1837">
        <v>6296.34</v>
      </c>
      <c r="C1837">
        <f t="shared" si="28"/>
        <v>2.5824146077369821</v>
      </c>
    </row>
    <row r="1838" spans="1:3" x14ac:dyDescent="0.15">
      <c r="A1838" s="22">
        <v>43794</v>
      </c>
      <c r="B1838">
        <v>6344.36</v>
      </c>
      <c r="C1838">
        <f t="shared" si="28"/>
        <v>2.602109787708764</v>
      </c>
    </row>
    <row r="1839" spans="1:3" x14ac:dyDescent="0.15">
      <c r="A1839" s="22">
        <v>43795</v>
      </c>
      <c r="B1839">
        <v>6358.46</v>
      </c>
      <c r="C1839">
        <f t="shared" si="28"/>
        <v>2.6078928372215113</v>
      </c>
    </row>
    <row r="1840" spans="1:3" x14ac:dyDescent="0.15">
      <c r="A1840" s="22">
        <v>43796</v>
      </c>
      <c r="B1840">
        <v>6385.76</v>
      </c>
      <c r="C1840">
        <f t="shared" si="28"/>
        <v>2.6190898054270435</v>
      </c>
    </row>
    <row r="1841" spans="1:3" x14ac:dyDescent="0.15">
      <c r="A1841" s="22">
        <v>43801</v>
      </c>
      <c r="B1841">
        <v>6306.88</v>
      </c>
      <c r="C1841">
        <f t="shared" si="28"/>
        <v>2.5867375397840995</v>
      </c>
    </row>
    <row r="1842" spans="1:3" x14ac:dyDescent="0.15">
      <c r="A1842" s="22">
        <v>43802</v>
      </c>
      <c r="B1842">
        <v>6265.22</v>
      </c>
      <c r="C1842">
        <f t="shared" si="28"/>
        <v>2.5696508842733867</v>
      </c>
    </row>
    <row r="1843" spans="1:3" x14ac:dyDescent="0.15">
      <c r="A1843" s="22">
        <v>43803</v>
      </c>
      <c r="B1843">
        <v>6305.49</v>
      </c>
      <c r="C1843">
        <f t="shared" si="28"/>
        <v>2.5861674377399351</v>
      </c>
    </row>
    <row r="1844" spans="1:3" x14ac:dyDescent="0.15">
      <c r="A1844" s="22">
        <v>43804</v>
      </c>
      <c r="B1844">
        <v>6316.69</v>
      </c>
      <c r="C1844">
        <f t="shared" si="28"/>
        <v>2.5907610657216917</v>
      </c>
    </row>
    <row r="1845" spans="1:3" x14ac:dyDescent="0.15">
      <c r="A1845" s="22">
        <v>43805</v>
      </c>
      <c r="B1845">
        <v>6374.7</v>
      </c>
      <c r="C1845">
        <f t="shared" si="28"/>
        <v>2.6145535977950587</v>
      </c>
    </row>
    <row r="1846" spans="1:3" x14ac:dyDescent="0.15">
      <c r="A1846" s="22">
        <v>43808</v>
      </c>
      <c r="B1846">
        <v>6355.07</v>
      </c>
      <c r="C1846">
        <f t="shared" si="28"/>
        <v>2.6065024444663187</v>
      </c>
    </row>
    <row r="1847" spans="1:3" x14ac:dyDescent="0.15">
      <c r="A1847" s="22">
        <v>43809</v>
      </c>
      <c r="B1847">
        <v>6348.31</v>
      </c>
      <c r="C1847">
        <f t="shared" si="28"/>
        <v>2.6037298618630444</v>
      </c>
    </row>
    <row r="1848" spans="1:3" x14ac:dyDescent="0.15">
      <c r="A1848" s="22">
        <v>43810</v>
      </c>
      <c r="B1848">
        <v>6366.84</v>
      </c>
      <c r="C1848">
        <f t="shared" si="28"/>
        <v>2.6113298553007187</v>
      </c>
    </row>
    <row r="1849" spans="1:3" x14ac:dyDescent="0.15">
      <c r="A1849" s="22">
        <v>43811</v>
      </c>
      <c r="B1849">
        <v>6422.35</v>
      </c>
      <c r="C1849">
        <f t="shared" si="28"/>
        <v>2.6340970239853005</v>
      </c>
    </row>
    <row r="1850" spans="1:3" x14ac:dyDescent="0.15">
      <c r="A1850" s="22">
        <v>43812</v>
      </c>
      <c r="B1850">
        <v>6423.93</v>
      </c>
      <c r="C1850">
        <f t="shared" si="28"/>
        <v>2.6347450536470127</v>
      </c>
    </row>
    <row r="1851" spans="1:3" x14ac:dyDescent="0.15">
      <c r="A1851" s="22">
        <v>43815</v>
      </c>
      <c r="B1851">
        <v>6470.03</v>
      </c>
      <c r="C1851">
        <f t="shared" si="28"/>
        <v>2.6536527545362079</v>
      </c>
    </row>
    <row r="1852" spans="1:3" x14ac:dyDescent="0.15">
      <c r="A1852" s="22">
        <v>43816</v>
      </c>
      <c r="B1852">
        <v>6472.24</v>
      </c>
      <c r="C1852">
        <f t="shared" si="28"/>
        <v>2.6545591757718938</v>
      </c>
    </row>
    <row r="1853" spans="1:3" x14ac:dyDescent="0.15">
      <c r="A1853" s="22">
        <v>43817</v>
      </c>
      <c r="B1853">
        <v>6470</v>
      </c>
      <c r="C1853">
        <f t="shared" si="28"/>
        <v>2.6536404501755424</v>
      </c>
    </row>
    <row r="1854" spans="1:3" x14ac:dyDescent="0.15">
      <c r="A1854" s="22">
        <v>43818</v>
      </c>
      <c r="B1854">
        <v>6499.26</v>
      </c>
      <c r="C1854">
        <f t="shared" si="28"/>
        <v>2.6656413032778818</v>
      </c>
    </row>
    <row r="1855" spans="1:3" x14ac:dyDescent="0.15">
      <c r="A1855" s="22">
        <v>43819</v>
      </c>
      <c r="B1855">
        <v>6531.75</v>
      </c>
      <c r="C1855">
        <f t="shared" si="28"/>
        <v>2.6789669258785316</v>
      </c>
    </row>
    <row r="1856" spans="1:3" x14ac:dyDescent="0.15">
      <c r="A1856" s="22">
        <v>43822</v>
      </c>
      <c r="B1856">
        <v>6537.4</v>
      </c>
      <c r="C1856">
        <f t="shared" si="28"/>
        <v>2.6812842471371856</v>
      </c>
    </row>
    <row r="1857" spans="1:3" x14ac:dyDescent="0.15">
      <c r="A1857" s="22">
        <v>43823</v>
      </c>
      <c r="B1857">
        <v>6536.58</v>
      </c>
      <c r="C1857">
        <f t="shared" si="28"/>
        <v>2.6809479279456641</v>
      </c>
    </row>
    <row r="1858" spans="1:3" x14ac:dyDescent="0.15">
      <c r="A1858" s="22">
        <v>43825</v>
      </c>
      <c r="B1858">
        <v>6570.71</v>
      </c>
      <c r="C1858">
        <f t="shared" ref="C1858:C1921" si="29">(B1858 / $B$2)</f>
        <v>2.6949461889293569</v>
      </c>
    </row>
    <row r="1859" spans="1:3" x14ac:dyDescent="0.15">
      <c r="A1859" s="22">
        <v>43826</v>
      </c>
      <c r="B1859">
        <v>6571.03</v>
      </c>
      <c r="C1859">
        <f t="shared" si="29"/>
        <v>2.6950774354431211</v>
      </c>
    </row>
    <row r="1860" spans="1:3" x14ac:dyDescent="0.15">
      <c r="A1860" s="22">
        <v>43829</v>
      </c>
      <c r="B1860">
        <v>6533.91</v>
      </c>
      <c r="C1860">
        <f t="shared" si="29"/>
        <v>2.6798528398464416</v>
      </c>
    </row>
    <row r="1861" spans="1:3" x14ac:dyDescent="0.15">
      <c r="A1861" s="22">
        <v>43830</v>
      </c>
      <c r="B1861">
        <v>6553.57</v>
      </c>
      <c r="C1861">
        <f t="shared" si="29"/>
        <v>2.6879162975358466</v>
      </c>
    </row>
    <row r="1862" spans="1:3" x14ac:dyDescent="0.15">
      <c r="A1862" s="22">
        <v>43832</v>
      </c>
      <c r="B1862">
        <v>6609.29</v>
      </c>
      <c r="C1862">
        <f t="shared" si="29"/>
        <v>2.7107695967450867</v>
      </c>
    </row>
    <row r="1863" spans="1:3" x14ac:dyDescent="0.15">
      <c r="A1863" s="22">
        <v>43833</v>
      </c>
      <c r="B1863">
        <v>6563.32</v>
      </c>
      <c r="C1863">
        <f t="shared" si="29"/>
        <v>2.6919152147521084</v>
      </c>
    </row>
    <row r="1864" spans="1:3" x14ac:dyDescent="0.15">
      <c r="A1864" s="22">
        <v>43836</v>
      </c>
      <c r="B1864">
        <v>6586.54</v>
      </c>
      <c r="C1864">
        <f t="shared" si="29"/>
        <v>2.7014387899071433</v>
      </c>
    </row>
    <row r="1865" spans="1:3" x14ac:dyDescent="0.15">
      <c r="A1865" s="22">
        <v>43837</v>
      </c>
      <c r="B1865">
        <v>6568.74</v>
      </c>
      <c r="C1865">
        <f t="shared" si="29"/>
        <v>2.6941382025789942</v>
      </c>
    </row>
    <row r="1866" spans="1:3" x14ac:dyDescent="0.15">
      <c r="A1866" s="22">
        <v>43838</v>
      </c>
      <c r="B1866">
        <v>6601.15</v>
      </c>
      <c r="C1866">
        <f t="shared" si="29"/>
        <v>2.7074310135512025</v>
      </c>
    </row>
    <row r="1867" spans="1:3" x14ac:dyDescent="0.15">
      <c r="A1867" s="22">
        <v>43839</v>
      </c>
      <c r="B1867">
        <v>6646.84</v>
      </c>
      <c r="C1867">
        <f t="shared" si="29"/>
        <v>2.7261705548446371</v>
      </c>
    </row>
    <row r="1868" spans="1:3" x14ac:dyDescent="0.15">
      <c r="A1868" s="22">
        <v>43840</v>
      </c>
      <c r="B1868">
        <v>6627.87</v>
      </c>
      <c r="C1868">
        <f t="shared" si="29"/>
        <v>2.7183900974505364</v>
      </c>
    </row>
    <row r="1869" spans="1:3" x14ac:dyDescent="0.15">
      <c r="A1869" s="22">
        <v>43843</v>
      </c>
      <c r="B1869">
        <v>6674.13</v>
      </c>
      <c r="C1869">
        <f t="shared" si="29"/>
        <v>2.7373634215966138</v>
      </c>
    </row>
    <row r="1870" spans="1:3" x14ac:dyDescent="0.15">
      <c r="A1870" s="22">
        <v>43844</v>
      </c>
      <c r="B1870">
        <v>6664.66</v>
      </c>
      <c r="C1870">
        <f t="shared" si="29"/>
        <v>2.7334793450798962</v>
      </c>
    </row>
    <row r="1871" spans="1:3" x14ac:dyDescent="0.15">
      <c r="A1871" s="22">
        <v>43845</v>
      </c>
      <c r="B1871">
        <v>6677.25</v>
      </c>
      <c r="C1871">
        <f t="shared" si="29"/>
        <v>2.7386430751058177</v>
      </c>
    </row>
    <row r="1872" spans="1:3" x14ac:dyDescent="0.15">
      <c r="A1872" s="22">
        <v>43846</v>
      </c>
      <c r="B1872">
        <v>6733.35</v>
      </c>
      <c r="C1872">
        <f t="shared" si="29"/>
        <v>2.7616522295501529</v>
      </c>
    </row>
    <row r="1873" spans="1:3" x14ac:dyDescent="0.15">
      <c r="A1873" s="22">
        <v>43847</v>
      </c>
      <c r="B1873">
        <v>6759.51</v>
      </c>
      <c r="C1873">
        <f t="shared" si="29"/>
        <v>2.7723816320503989</v>
      </c>
    </row>
    <row r="1874" spans="1:3" x14ac:dyDescent="0.15">
      <c r="A1874" s="22">
        <v>43851</v>
      </c>
      <c r="B1874">
        <v>6741.71</v>
      </c>
      <c r="C1874">
        <f t="shared" si="29"/>
        <v>2.7650810447222498</v>
      </c>
    </row>
    <row r="1875" spans="1:3" x14ac:dyDescent="0.15">
      <c r="A1875" s="22">
        <v>43852</v>
      </c>
      <c r="B1875">
        <v>6743.9</v>
      </c>
      <c r="C1875">
        <f t="shared" si="29"/>
        <v>2.7659792630508253</v>
      </c>
    </row>
    <row r="1876" spans="1:3" x14ac:dyDescent="0.15">
      <c r="A1876" s="22">
        <v>43853</v>
      </c>
      <c r="B1876">
        <v>6752.09</v>
      </c>
      <c r="C1876">
        <f t="shared" si="29"/>
        <v>2.7693383535124849</v>
      </c>
    </row>
    <row r="1877" spans="1:3" x14ac:dyDescent="0.15">
      <c r="A1877" s="22">
        <v>43854</v>
      </c>
      <c r="B1877">
        <v>6691.22</v>
      </c>
      <c r="C1877">
        <f t="shared" si="29"/>
        <v>2.7443728057223482</v>
      </c>
    </row>
    <row r="1878" spans="1:3" x14ac:dyDescent="0.15">
      <c r="A1878" s="22">
        <v>43857</v>
      </c>
      <c r="B1878">
        <v>6585.95</v>
      </c>
      <c r="C1878">
        <f t="shared" si="29"/>
        <v>2.7011968041473899</v>
      </c>
    </row>
    <row r="1879" spans="1:3" x14ac:dyDescent="0.15">
      <c r="A1879" s="22">
        <v>43858</v>
      </c>
      <c r="B1879">
        <v>6652.3</v>
      </c>
      <c r="C1879">
        <f t="shared" si="29"/>
        <v>2.7284099484857434</v>
      </c>
    </row>
    <row r="1880" spans="1:3" x14ac:dyDescent="0.15">
      <c r="A1880" s="22">
        <v>43859</v>
      </c>
      <c r="B1880">
        <v>6646.69</v>
      </c>
      <c r="C1880">
        <f t="shared" si="29"/>
        <v>2.7261090330413098</v>
      </c>
    </row>
    <row r="1881" spans="1:3" x14ac:dyDescent="0.15">
      <c r="A1881" s="22">
        <v>43860</v>
      </c>
      <c r="B1881">
        <v>6668.52</v>
      </c>
      <c r="C1881">
        <f t="shared" si="29"/>
        <v>2.7350625061521807</v>
      </c>
    </row>
    <row r="1882" spans="1:3" x14ac:dyDescent="0.15">
      <c r="A1882" s="22">
        <v>43861</v>
      </c>
      <c r="B1882">
        <v>6551</v>
      </c>
      <c r="C1882">
        <f t="shared" si="29"/>
        <v>2.686862223972176</v>
      </c>
    </row>
    <row r="1883" spans="1:3" x14ac:dyDescent="0.15">
      <c r="A1883" s="22">
        <v>43864</v>
      </c>
      <c r="B1883">
        <v>6598.63</v>
      </c>
      <c r="C1883">
        <f t="shared" si="29"/>
        <v>2.7063974472553074</v>
      </c>
    </row>
    <row r="1884" spans="1:3" x14ac:dyDescent="0.15">
      <c r="A1884" s="22">
        <v>43865</v>
      </c>
      <c r="B1884">
        <v>6697.49</v>
      </c>
      <c r="C1884">
        <f t="shared" si="29"/>
        <v>2.746944417101421</v>
      </c>
    </row>
    <row r="1885" spans="1:3" x14ac:dyDescent="0.15">
      <c r="A1885" s="22">
        <v>43866</v>
      </c>
      <c r="B1885">
        <v>6772.98</v>
      </c>
      <c r="C1885">
        <f t="shared" si="29"/>
        <v>2.777906289989172</v>
      </c>
    </row>
    <row r="1886" spans="1:3" x14ac:dyDescent="0.15">
      <c r="A1886" s="22">
        <v>43867</v>
      </c>
      <c r="B1886">
        <v>6796.64</v>
      </c>
      <c r="C1886">
        <f t="shared" si="29"/>
        <v>2.7876103291006338</v>
      </c>
    </row>
    <row r="1887" spans="1:3" x14ac:dyDescent="0.15">
      <c r="A1887" s="22">
        <v>43868</v>
      </c>
      <c r="B1887">
        <v>6761.26</v>
      </c>
      <c r="C1887">
        <f t="shared" si="29"/>
        <v>2.7730993864225484</v>
      </c>
    </row>
    <row r="1888" spans="1:3" x14ac:dyDescent="0.15">
      <c r="A1888" s="22">
        <v>43871</v>
      </c>
      <c r="B1888">
        <v>6811.83</v>
      </c>
      <c r="C1888">
        <f t="shared" si="29"/>
        <v>2.7938404370508909</v>
      </c>
    </row>
    <row r="1889" spans="1:3" x14ac:dyDescent="0.15">
      <c r="A1889" s="22">
        <v>43872</v>
      </c>
      <c r="B1889">
        <v>6823.59</v>
      </c>
      <c r="C1889">
        <f t="shared" si="29"/>
        <v>2.7986637464317354</v>
      </c>
    </row>
    <row r="1890" spans="1:3" x14ac:dyDescent="0.15">
      <c r="A1890" s="22">
        <v>43873</v>
      </c>
      <c r="B1890">
        <v>6867.92</v>
      </c>
      <c r="C1890">
        <f t="shared" si="29"/>
        <v>2.8168454900416711</v>
      </c>
    </row>
    <row r="1891" spans="1:3" x14ac:dyDescent="0.15">
      <c r="A1891" s="22">
        <v>43874</v>
      </c>
      <c r="B1891">
        <v>6858.92</v>
      </c>
      <c r="C1891">
        <f t="shared" si="29"/>
        <v>2.8131541818420449</v>
      </c>
    </row>
    <row r="1892" spans="1:3" x14ac:dyDescent="0.15">
      <c r="A1892" s="22">
        <v>43875</v>
      </c>
      <c r="B1892">
        <v>6872.68</v>
      </c>
      <c r="C1892">
        <f t="shared" si="29"/>
        <v>2.8187977819339176</v>
      </c>
    </row>
    <row r="1893" spans="1:3" x14ac:dyDescent="0.15">
      <c r="A1893" s="22">
        <v>43879</v>
      </c>
      <c r="B1893">
        <v>6853.04</v>
      </c>
      <c r="C1893">
        <f t="shared" si="29"/>
        <v>2.8107425271516226</v>
      </c>
    </row>
    <row r="1894" spans="1:3" x14ac:dyDescent="0.15">
      <c r="A1894" s="22">
        <v>43880</v>
      </c>
      <c r="B1894">
        <v>6886.47</v>
      </c>
      <c r="C1894">
        <f t="shared" si="29"/>
        <v>2.8244536863864558</v>
      </c>
    </row>
    <row r="1895" spans="1:3" x14ac:dyDescent="0.15">
      <c r="A1895" s="22">
        <v>43881</v>
      </c>
      <c r="B1895">
        <v>6860.52</v>
      </c>
      <c r="C1895">
        <f t="shared" si="29"/>
        <v>2.8138104144108675</v>
      </c>
    </row>
    <row r="1896" spans="1:3" x14ac:dyDescent="0.15">
      <c r="A1896" s="22">
        <v>43882</v>
      </c>
      <c r="B1896">
        <v>6788.6</v>
      </c>
      <c r="C1896">
        <f t="shared" si="29"/>
        <v>2.784312760442301</v>
      </c>
    </row>
    <row r="1897" spans="1:3" x14ac:dyDescent="0.15">
      <c r="A1897" s="22">
        <v>43885</v>
      </c>
      <c r="B1897">
        <v>6561.94</v>
      </c>
      <c r="C1897">
        <f t="shared" si="29"/>
        <v>2.691349214161499</v>
      </c>
    </row>
    <row r="1898" spans="1:3" x14ac:dyDescent="0.15">
      <c r="A1898" s="22">
        <v>43886</v>
      </c>
      <c r="B1898">
        <v>6363.37</v>
      </c>
      <c r="C1898">
        <f t="shared" si="29"/>
        <v>2.6099066509170852</v>
      </c>
    </row>
    <row r="1899" spans="1:3" x14ac:dyDescent="0.15">
      <c r="A1899" s="22">
        <v>43887</v>
      </c>
      <c r="B1899">
        <v>6339.38</v>
      </c>
      <c r="C1899">
        <f t="shared" si="29"/>
        <v>2.6000672638383047</v>
      </c>
    </row>
    <row r="1900" spans="1:3" x14ac:dyDescent="0.15">
      <c r="A1900" s="22">
        <v>43888</v>
      </c>
      <c r="B1900">
        <v>6060.67</v>
      </c>
      <c r="C1900">
        <f t="shared" si="29"/>
        <v>2.4857556518029993</v>
      </c>
    </row>
    <row r="1901" spans="1:3" x14ac:dyDescent="0.15">
      <c r="A1901" s="22">
        <v>43889</v>
      </c>
      <c r="B1901">
        <v>6011.73</v>
      </c>
      <c r="C1901">
        <f t="shared" si="29"/>
        <v>2.465683138104144</v>
      </c>
    </row>
    <row r="1902" spans="1:3" x14ac:dyDescent="0.15">
      <c r="A1902" s="22">
        <v>43892</v>
      </c>
      <c r="B1902">
        <v>6288.64</v>
      </c>
      <c r="C1902">
        <f t="shared" si="29"/>
        <v>2.5792564884995244</v>
      </c>
    </row>
    <row r="1903" spans="1:3" x14ac:dyDescent="0.15">
      <c r="A1903" s="22">
        <v>43893</v>
      </c>
      <c r="B1903">
        <v>6112.07</v>
      </c>
      <c r="C1903">
        <f t="shared" si="29"/>
        <v>2.5068371230764184</v>
      </c>
    </row>
    <row r="1904" spans="1:3" x14ac:dyDescent="0.15">
      <c r="A1904" s="22">
        <v>43894</v>
      </c>
      <c r="B1904">
        <v>6370.35</v>
      </c>
      <c r="C1904">
        <f t="shared" si="29"/>
        <v>2.6127694654985731</v>
      </c>
    </row>
    <row r="1905" spans="1:3" x14ac:dyDescent="0.15">
      <c r="A1905" s="22">
        <v>43895</v>
      </c>
      <c r="B1905">
        <v>6155.58</v>
      </c>
      <c r="C1905">
        <f t="shared" si="29"/>
        <v>2.5246825474948325</v>
      </c>
    </row>
    <row r="1906" spans="1:3" x14ac:dyDescent="0.15">
      <c r="A1906" s="22">
        <v>43896</v>
      </c>
      <c r="B1906">
        <v>6050.8</v>
      </c>
      <c r="C1906">
        <f t="shared" si="29"/>
        <v>2.4817075171440761</v>
      </c>
    </row>
    <row r="1907" spans="1:3" x14ac:dyDescent="0.15">
      <c r="A1907" s="22">
        <v>43899</v>
      </c>
      <c r="B1907">
        <v>5591.74</v>
      </c>
      <c r="C1907">
        <f t="shared" si="29"/>
        <v>2.2934261902418216</v>
      </c>
    </row>
    <row r="1908" spans="1:3" x14ac:dyDescent="0.15">
      <c r="A1908" s="22">
        <v>43900</v>
      </c>
      <c r="B1908">
        <v>5868.11</v>
      </c>
      <c r="C1908">
        <f t="shared" si="29"/>
        <v>2.4067780621452242</v>
      </c>
    </row>
    <row r="1909" spans="1:3" x14ac:dyDescent="0.15">
      <c r="A1909" s="22">
        <v>43901</v>
      </c>
      <c r="B1909">
        <v>5581.76</v>
      </c>
      <c r="C1909">
        <f t="shared" si="29"/>
        <v>2.2893329395937925</v>
      </c>
    </row>
    <row r="1910" spans="1:3" x14ac:dyDescent="0.15">
      <c r="A1910" s="22">
        <v>43902</v>
      </c>
      <c r="B1910">
        <v>5051.97</v>
      </c>
      <c r="C1910">
        <f t="shared" si="29"/>
        <v>2.0720420316960335</v>
      </c>
    </row>
    <row r="1911" spans="1:3" x14ac:dyDescent="0.15">
      <c r="A1911" s="22">
        <v>43903</v>
      </c>
      <c r="B1911">
        <v>5522.85</v>
      </c>
      <c r="C1911">
        <f t="shared" si="29"/>
        <v>2.265171276700463</v>
      </c>
    </row>
    <row r="1912" spans="1:3" x14ac:dyDescent="0.15">
      <c r="A1912" s="22">
        <v>43906</v>
      </c>
      <c r="B1912">
        <v>4861.22</v>
      </c>
      <c r="C1912">
        <f t="shared" si="29"/>
        <v>1.9938068051317388</v>
      </c>
    </row>
    <row r="1913" spans="1:3" x14ac:dyDescent="0.15">
      <c r="A1913" s="22">
        <v>43907</v>
      </c>
      <c r="B1913">
        <v>5152.83</v>
      </c>
      <c r="C1913">
        <f t="shared" si="29"/>
        <v>2.1134092922531744</v>
      </c>
    </row>
    <row r="1914" spans="1:3" x14ac:dyDescent="0.15">
      <c r="A1914" s="22">
        <v>43908</v>
      </c>
      <c r="B1914">
        <v>4885.76</v>
      </c>
      <c r="C1914">
        <f t="shared" si="29"/>
        <v>2.0038717721560522</v>
      </c>
    </row>
    <row r="1915" spans="1:3" x14ac:dyDescent="0.15">
      <c r="A1915" s="22">
        <v>43909</v>
      </c>
      <c r="B1915">
        <v>4909.13</v>
      </c>
      <c r="C1915">
        <f t="shared" si="29"/>
        <v>2.0134568691144143</v>
      </c>
    </row>
    <row r="1916" spans="1:3" x14ac:dyDescent="0.15">
      <c r="A1916" s="22">
        <v>43910</v>
      </c>
      <c r="B1916">
        <v>4697.09</v>
      </c>
      <c r="C1916">
        <f t="shared" si="29"/>
        <v>1.926489647931227</v>
      </c>
    </row>
    <row r="1917" spans="1:3" x14ac:dyDescent="0.15">
      <c r="A1917" s="22">
        <v>43913</v>
      </c>
      <c r="B1917">
        <v>4559.5</v>
      </c>
      <c r="C1917">
        <f t="shared" si="29"/>
        <v>1.8700577484660565</v>
      </c>
    </row>
    <row r="1918" spans="1:3" x14ac:dyDescent="0.15">
      <c r="A1918" s="22">
        <v>43914</v>
      </c>
      <c r="B1918">
        <v>4987.8</v>
      </c>
      <c r="C1918">
        <f t="shared" si="29"/>
        <v>2.0457230042327001</v>
      </c>
    </row>
    <row r="1919" spans="1:3" x14ac:dyDescent="0.15">
      <c r="A1919" s="22">
        <v>43915</v>
      </c>
      <c r="B1919">
        <v>5045.3500000000004</v>
      </c>
      <c r="C1919">
        <f t="shared" si="29"/>
        <v>2.0693268694425306</v>
      </c>
    </row>
    <row r="1920" spans="1:3" x14ac:dyDescent="0.15">
      <c r="A1920" s="22">
        <v>43916</v>
      </c>
      <c r="B1920">
        <v>5360.49</v>
      </c>
      <c r="C1920">
        <f t="shared" si="29"/>
        <v>2.1985800767792107</v>
      </c>
    </row>
    <row r="1921" spans="1:3" x14ac:dyDescent="0.15">
      <c r="A1921" s="22">
        <v>43917</v>
      </c>
      <c r="B1921">
        <v>5179.92</v>
      </c>
      <c r="C1921">
        <f t="shared" si="29"/>
        <v>2.1245201299340488</v>
      </c>
    </row>
    <row r="1922" spans="1:3" x14ac:dyDescent="0.15">
      <c r="A1922" s="22">
        <v>43920</v>
      </c>
      <c r="B1922">
        <v>5354.39</v>
      </c>
      <c r="C1922">
        <f t="shared" ref="C1922:C1985" si="30">(B1922 / $B$2)</f>
        <v>2.1960781901105753</v>
      </c>
    </row>
    <row r="1923" spans="1:3" x14ac:dyDescent="0.15">
      <c r="A1923" s="22">
        <v>43921</v>
      </c>
      <c r="B1923">
        <v>5269.2</v>
      </c>
      <c r="C1923">
        <f t="shared" si="30"/>
        <v>2.161137907274338</v>
      </c>
    </row>
    <row r="1924" spans="1:3" x14ac:dyDescent="0.15">
      <c r="A1924" s="22">
        <v>43922</v>
      </c>
      <c r="B1924">
        <v>5036.6400000000003</v>
      </c>
      <c r="C1924">
        <f t="shared" si="30"/>
        <v>2.0657545033960036</v>
      </c>
    </row>
    <row r="1925" spans="1:3" x14ac:dyDescent="0.15">
      <c r="A1925" s="22">
        <v>43923</v>
      </c>
      <c r="B1925">
        <v>5152.47</v>
      </c>
      <c r="C1925">
        <f t="shared" si="30"/>
        <v>2.1132616399251898</v>
      </c>
    </row>
    <row r="1926" spans="1:3" x14ac:dyDescent="0.15">
      <c r="A1926" s="22">
        <v>43924</v>
      </c>
      <c r="B1926">
        <v>5075.16</v>
      </c>
      <c r="C1926">
        <f t="shared" si="30"/>
        <v>2.0815533024904025</v>
      </c>
    </row>
    <row r="1927" spans="1:3" x14ac:dyDescent="0.15">
      <c r="A1927" s="22">
        <v>43927</v>
      </c>
      <c r="B1927">
        <v>5432.17</v>
      </c>
      <c r="C1927">
        <f t="shared" si="30"/>
        <v>2.227979295862454</v>
      </c>
    </row>
    <row r="1928" spans="1:3" x14ac:dyDescent="0.15">
      <c r="A1928" s="22">
        <v>43928</v>
      </c>
      <c r="B1928">
        <v>5423.52</v>
      </c>
      <c r="C1928">
        <f t="shared" si="30"/>
        <v>2.2244315385372579</v>
      </c>
    </row>
    <row r="1929" spans="1:3" x14ac:dyDescent="0.15">
      <c r="A1929" s="22">
        <v>43929</v>
      </c>
      <c r="B1929">
        <v>5609.55</v>
      </c>
      <c r="C1929">
        <f t="shared" si="30"/>
        <v>2.3007308790235261</v>
      </c>
    </row>
    <row r="1930" spans="1:3" x14ac:dyDescent="0.15">
      <c r="A1930" s="22">
        <v>43930</v>
      </c>
      <c r="B1930">
        <v>5691.54</v>
      </c>
      <c r="C1930">
        <f t="shared" si="30"/>
        <v>2.3343586967221186</v>
      </c>
    </row>
    <row r="1931" spans="1:3" x14ac:dyDescent="0.15">
      <c r="A1931" s="22">
        <v>43934</v>
      </c>
      <c r="B1931">
        <v>5634.15</v>
      </c>
      <c r="C1931">
        <f t="shared" si="30"/>
        <v>2.31082045476917</v>
      </c>
    </row>
    <row r="1932" spans="1:3" x14ac:dyDescent="0.15">
      <c r="A1932" s="22">
        <v>43935</v>
      </c>
      <c r="B1932">
        <v>5807.1</v>
      </c>
      <c r="C1932">
        <f t="shared" si="30"/>
        <v>2.3817550940053156</v>
      </c>
    </row>
    <row r="1933" spans="1:3" x14ac:dyDescent="0.15">
      <c r="A1933" s="22">
        <v>43936</v>
      </c>
      <c r="B1933">
        <v>5679.53</v>
      </c>
      <c r="C1933">
        <f t="shared" si="30"/>
        <v>2.3294328510023954</v>
      </c>
    </row>
    <row r="1934" spans="1:3" x14ac:dyDescent="0.15">
      <c r="A1934" s="22">
        <v>43937</v>
      </c>
      <c r="B1934">
        <v>5712.6</v>
      </c>
      <c r="C1934">
        <f t="shared" si="30"/>
        <v>2.3429963579092434</v>
      </c>
    </row>
    <row r="1935" spans="1:3" x14ac:dyDescent="0.15">
      <c r="A1935" s="22">
        <v>43938</v>
      </c>
      <c r="B1935">
        <v>5865.9</v>
      </c>
      <c r="C1935">
        <f t="shared" si="30"/>
        <v>2.4058716409095382</v>
      </c>
    </row>
    <row r="1936" spans="1:3" x14ac:dyDescent="0.15">
      <c r="A1936" s="22">
        <v>43941</v>
      </c>
      <c r="B1936">
        <v>5761</v>
      </c>
      <c r="C1936">
        <f t="shared" si="30"/>
        <v>2.3628473931161205</v>
      </c>
    </row>
    <row r="1937" spans="1:3" x14ac:dyDescent="0.15">
      <c r="A1937" s="22">
        <v>43942</v>
      </c>
      <c r="B1937">
        <v>5584.44</v>
      </c>
      <c r="C1937">
        <f t="shared" si="30"/>
        <v>2.2904321291465695</v>
      </c>
    </row>
    <row r="1938" spans="1:3" x14ac:dyDescent="0.15">
      <c r="A1938" s="22">
        <v>43943</v>
      </c>
      <c r="B1938">
        <v>5712.65</v>
      </c>
      <c r="C1938">
        <f t="shared" si="30"/>
        <v>2.3430168651770189</v>
      </c>
    </row>
    <row r="1939" spans="1:3" x14ac:dyDescent="0.15">
      <c r="A1939" s="22">
        <v>43944</v>
      </c>
      <c r="B1939">
        <v>5710.04</v>
      </c>
      <c r="C1939">
        <f t="shared" si="30"/>
        <v>2.3419463857991274</v>
      </c>
    </row>
    <row r="1940" spans="1:3" x14ac:dyDescent="0.15">
      <c r="A1940" s="22">
        <v>43945</v>
      </c>
      <c r="B1940">
        <v>5789.65</v>
      </c>
      <c r="C1940">
        <f t="shared" si="30"/>
        <v>2.3745980575515961</v>
      </c>
    </row>
    <row r="1941" spans="1:3" x14ac:dyDescent="0.15">
      <c r="A1941" s="22">
        <v>43948</v>
      </c>
      <c r="B1941">
        <v>5874.94</v>
      </c>
      <c r="C1941">
        <f t="shared" si="30"/>
        <v>2.4095793549233848</v>
      </c>
    </row>
    <row r="1942" spans="1:3" x14ac:dyDescent="0.15">
      <c r="A1942" s="22">
        <v>43949</v>
      </c>
      <c r="B1942">
        <v>5844.18</v>
      </c>
      <c r="C1942">
        <f t="shared" si="30"/>
        <v>2.3969632837877746</v>
      </c>
    </row>
    <row r="1943" spans="1:3" x14ac:dyDescent="0.15">
      <c r="A1943" s="22">
        <v>43950</v>
      </c>
      <c r="B1943">
        <v>5999.74</v>
      </c>
      <c r="C1943">
        <f t="shared" si="30"/>
        <v>2.4607654952915312</v>
      </c>
    </row>
    <row r="1944" spans="1:3" x14ac:dyDescent="0.15">
      <c r="A1944" s="22">
        <v>43951</v>
      </c>
      <c r="B1944">
        <v>5944.68</v>
      </c>
      <c r="C1944">
        <f t="shared" si="30"/>
        <v>2.4381828920169313</v>
      </c>
    </row>
    <row r="1945" spans="1:3" x14ac:dyDescent="0.15">
      <c r="A1945" s="22">
        <v>43952</v>
      </c>
      <c r="B1945">
        <v>5778.53</v>
      </c>
      <c r="C1945">
        <f t="shared" si="30"/>
        <v>2.3700372411982809</v>
      </c>
    </row>
    <row r="1946" spans="1:3" x14ac:dyDescent="0.15">
      <c r="A1946" s="22">
        <v>43955</v>
      </c>
      <c r="B1946">
        <v>5803.12</v>
      </c>
      <c r="C1946">
        <f t="shared" si="30"/>
        <v>2.3801227154903697</v>
      </c>
    </row>
    <row r="1947" spans="1:3" x14ac:dyDescent="0.15">
      <c r="A1947" s="22">
        <v>43956</v>
      </c>
      <c r="B1947">
        <v>5855.58</v>
      </c>
      <c r="C1947">
        <f t="shared" si="30"/>
        <v>2.401638940840634</v>
      </c>
    </row>
    <row r="1948" spans="1:3" x14ac:dyDescent="0.15">
      <c r="A1948" s="22">
        <v>43957</v>
      </c>
      <c r="B1948">
        <v>5815.17</v>
      </c>
      <c r="C1948">
        <f t="shared" si="30"/>
        <v>2.3850649670243138</v>
      </c>
    </row>
    <row r="1949" spans="1:3" x14ac:dyDescent="0.15">
      <c r="A1949" s="22">
        <v>43958</v>
      </c>
      <c r="B1949">
        <v>5884.14</v>
      </c>
      <c r="C1949">
        <f t="shared" si="30"/>
        <v>2.4133526921941137</v>
      </c>
    </row>
    <row r="1950" spans="1:3" x14ac:dyDescent="0.15">
      <c r="A1950" s="22">
        <v>43959</v>
      </c>
      <c r="B1950">
        <v>5984.55</v>
      </c>
      <c r="C1950">
        <f t="shared" si="30"/>
        <v>2.4545353873412741</v>
      </c>
    </row>
    <row r="1951" spans="1:3" x14ac:dyDescent="0.15">
      <c r="A1951" s="22">
        <v>43962</v>
      </c>
      <c r="B1951">
        <v>5985.66</v>
      </c>
      <c r="C1951">
        <f t="shared" si="30"/>
        <v>2.4549906486858943</v>
      </c>
    </row>
    <row r="1952" spans="1:3" x14ac:dyDescent="0.15">
      <c r="A1952" s="22">
        <v>43963</v>
      </c>
      <c r="B1952">
        <v>5863.68</v>
      </c>
      <c r="C1952">
        <f t="shared" si="30"/>
        <v>2.4049611182202977</v>
      </c>
    </row>
    <row r="1953" spans="1:3" x14ac:dyDescent="0.15">
      <c r="A1953" s="22">
        <v>43964</v>
      </c>
      <c r="B1953">
        <v>5761.7</v>
      </c>
      <c r="C1953">
        <f t="shared" si="30"/>
        <v>2.3631344948649802</v>
      </c>
    </row>
    <row r="1954" spans="1:3" x14ac:dyDescent="0.15">
      <c r="A1954" s="22">
        <v>43965</v>
      </c>
      <c r="B1954">
        <v>5829.33</v>
      </c>
      <c r="C1954">
        <f t="shared" si="30"/>
        <v>2.3908726252583916</v>
      </c>
    </row>
    <row r="1955" spans="1:3" x14ac:dyDescent="0.15">
      <c r="A1955" s="22">
        <v>43966</v>
      </c>
      <c r="B1955">
        <v>5852.84</v>
      </c>
      <c r="C1955">
        <f t="shared" si="30"/>
        <v>2.4005151425665257</v>
      </c>
    </row>
    <row r="1956" spans="1:3" x14ac:dyDescent="0.15">
      <c r="A1956" s="22">
        <v>43969</v>
      </c>
      <c r="B1956">
        <v>6037.9</v>
      </c>
      <c r="C1956">
        <f t="shared" si="30"/>
        <v>2.4764166420579454</v>
      </c>
    </row>
    <row r="1957" spans="1:3" x14ac:dyDescent="0.15">
      <c r="A1957" s="22">
        <v>43970</v>
      </c>
      <c r="B1957">
        <v>5975.15</v>
      </c>
      <c r="C1957">
        <f t="shared" si="30"/>
        <v>2.4506800209994424</v>
      </c>
    </row>
    <row r="1958" spans="1:3" x14ac:dyDescent="0.15">
      <c r="A1958" s="22">
        <v>43971</v>
      </c>
      <c r="B1958">
        <v>6075.76</v>
      </c>
      <c r="C1958">
        <f t="shared" si="30"/>
        <v>2.4919447452177055</v>
      </c>
    </row>
    <row r="1959" spans="1:3" x14ac:dyDescent="0.15">
      <c r="A1959" s="22">
        <v>43972</v>
      </c>
      <c r="B1959">
        <v>6028.93</v>
      </c>
      <c r="C1959">
        <f t="shared" si="30"/>
        <v>2.4727376382189852</v>
      </c>
    </row>
    <row r="1960" spans="1:3" x14ac:dyDescent="0.15">
      <c r="A1960" s="22">
        <v>43973</v>
      </c>
      <c r="B1960">
        <v>6044.16</v>
      </c>
      <c r="C1960">
        <f t="shared" si="30"/>
        <v>2.4789841519834632</v>
      </c>
    </row>
    <row r="1961" spans="1:3" x14ac:dyDescent="0.15">
      <c r="A1961" s="22">
        <v>43977</v>
      </c>
      <c r="B1961">
        <v>6118.54</v>
      </c>
      <c r="C1961">
        <f t="shared" si="30"/>
        <v>2.5094907635265939</v>
      </c>
    </row>
    <row r="1962" spans="1:3" x14ac:dyDescent="0.15">
      <c r="A1962" s="22">
        <v>43978</v>
      </c>
      <c r="B1962">
        <v>6209.38</v>
      </c>
      <c r="C1962">
        <f t="shared" si="30"/>
        <v>2.5467483676214853</v>
      </c>
    </row>
    <row r="1963" spans="1:3" x14ac:dyDescent="0.15">
      <c r="A1963" s="22">
        <v>43979</v>
      </c>
      <c r="B1963">
        <v>6197.02</v>
      </c>
      <c r="C1963">
        <f t="shared" si="30"/>
        <v>2.5416789710273324</v>
      </c>
    </row>
    <row r="1964" spans="1:3" x14ac:dyDescent="0.15">
      <c r="A1964" s="22">
        <v>43980</v>
      </c>
      <c r="B1964">
        <v>6227.81</v>
      </c>
      <c r="C1964">
        <f t="shared" si="30"/>
        <v>2.5543073465236081</v>
      </c>
    </row>
    <row r="1965" spans="1:3" x14ac:dyDescent="0.15">
      <c r="A1965" s="22">
        <v>43983</v>
      </c>
      <c r="B1965">
        <v>6251.48</v>
      </c>
      <c r="C1965">
        <f t="shared" si="30"/>
        <v>2.564015487088624</v>
      </c>
    </row>
    <row r="1966" spans="1:3" x14ac:dyDescent="0.15">
      <c r="A1966" s="22">
        <v>43984</v>
      </c>
      <c r="B1966">
        <v>6303</v>
      </c>
      <c r="C1966">
        <f t="shared" si="30"/>
        <v>2.5851461758047054</v>
      </c>
    </row>
    <row r="1967" spans="1:3" x14ac:dyDescent="0.15">
      <c r="A1967" s="22">
        <v>43985</v>
      </c>
      <c r="B1967">
        <v>6389.67</v>
      </c>
      <c r="C1967">
        <f t="shared" si="30"/>
        <v>2.620693473767103</v>
      </c>
    </row>
    <row r="1968" spans="1:3" x14ac:dyDescent="0.15">
      <c r="A1968" s="22">
        <v>43986</v>
      </c>
      <c r="B1968">
        <v>6369.54</v>
      </c>
      <c r="C1968">
        <f t="shared" si="30"/>
        <v>2.6124372477606066</v>
      </c>
    </row>
    <row r="1969" spans="1:3" x14ac:dyDescent="0.15">
      <c r="A1969" s="22">
        <v>43987</v>
      </c>
      <c r="B1969">
        <v>6536.58</v>
      </c>
      <c r="C1969">
        <f t="shared" si="30"/>
        <v>2.6809479279456641</v>
      </c>
    </row>
    <row r="1970" spans="1:3" x14ac:dyDescent="0.15">
      <c r="A1970" s="22">
        <v>43990</v>
      </c>
      <c r="B1970">
        <v>6615.4</v>
      </c>
      <c r="C1970">
        <f t="shared" si="30"/>
        <v>2.7132755848672772</v>
      </c>
    </row>
    <row r="1971" spans="1:3" x14ac:dyDescent="0.15">
      <c r="A1971" s="22">
        <v>43991</v>
      </c>
      <c r="B1971">
        <v>6564.27</v>
      </c>
      <c r="C1971">
        <f t="shared" si="30"/>
        <v>2.6923048528398468</v>
      </c>
    </row>
    <row r="1972" spans="1:3" x14ac:dyDescent="0.15">
      <c r="A1972" s="22">
        <v>43992</v>
      </c>
      <c r="B1972">
        <v>6529.42</v>
      </c>
      <c r="C1972">
        <f t="shared" si="30"/>
        <v>2.6780112872001838</v>
      </c>
    </row>
    <row r="1973" spans="1:3" x14ac:dyDescent="0.15">
      <c r="A1973" s="22">
        <v>43993</v>
      </c>
      <c r="B1973">
        <v>6145.3</v>
      </c>
      <c r="C1973">
        <f t="shared" si="30"/>
        <v>2.5204662532401487</v>
      </c>
    </row>
    <row r="1974" spans="1:3" x14ac:dyDescent="0.15">
      <c r="A1974" s="22">
        <v>43994</v>
      </c>
      <c r="B1974">
        <v>6227.42</v>
      </c>
      <c r="C1974">
        <f t="shared" si="30"/>
        <v>2.5541473898349576</v>
      </c>
    </row>
    <row r="1975" spans="1:3" x14ac:dyDescent="0.15">
      <c r="A1975" s="22">
        <v>43997</v>
      </c>
      <c r="B1975">
        <v>6279.4</v>
      </c>
      <c r="C1975">
        <f t="shared" si="30"/>
        <v>2.575466745414575</v>
      </c>
    </row>
    <row r="1976" spans="1:3" x14ac:dyDescent="0.15">
      <c r="A1976" s="22">
        <v>43998</v>
      </c>
      <c r="B1976">
        <v>6398.58</v>
      </c>
      <c r="C1976">
        <f t="shared" si="30"/>
        <v>2.6243478688847328</v>
      </c>
    </row>
    <row r="1977" spans="1:3" x14ac:dyDescent="0.15">
      <c r="A1977" s="22">
        <v>43999</v>
      </c>
      <c r="B1977">
        <v>6375.54</v>
      </c>
      <c r="C1977">
        <f t="shared" si="30"/>
        <v>2.6148981198936903</v>
      </c>
    </row>
    <row r="1978" spans="1:3" x14ac:dyDescent="0.15">
      <c r="A1978" s="22">
        <v>44000</v>
      </c>
      <c r="B1978">
        <v>6379.56</v>
      </c>
      <c r="C1978">
        <f t="shared" si="30"/>
        <v>2.6165469042228571</v>
      </c>
    </row>
    <row r="1979" spans="1:3" x14ac:dyDescent="0.15">
      <c r="A1979" s="22">
        <v>44001</v>
      </c>
      <c r="B1979">
        <v>6344.7</v>
      </c>
      <c r="C1979">
        <f t="shared" si="30"/>
        <v>2.6022492371296386</v>
      </c>
    </row>
    <row r="1980" spans="1:3" x14ac:dyDescent="0.15">
      <c r="A1980" s="22">
        <v>44004</v>
      </c>
      <c r="B1980">
        <v>6385.91</v>
      </c>
      <c r="C1980">
        <f t="shared" si="30"/>
        <v>2.6191513272303704</v>
      </c>
    </row>
    <row r="1981" spans="1:3" x14ac:dyDescent="0.15">
      <c r="A1981" s="22">
        <v>44005</v>
      </c>
      <c r="B1981">
        <v>6413.44</v>
      </c>
      <c r="C1981">
        <f t="shared" si="30"/>
        <v>2.6304426288676708</v>
      </c>
    </row>
    <row r="1982" spans="1:3" x14ac:dyDescent="0.15">
      <c r="A1982" s="22">
        <v>44006</v>
      </c>
      <c r="B1982">
        <v>6247.66</v>
      </c>
      <c r="C1982">
        <f t="shared" si="30"/>
        <v>2.5624487318305609</v>
      </c>
    </row>
    <row r="1983" spans="1:3" x14ac:dyDescent="0.15">
      <c r="A1983" s="22">
        <v>44007</v>
      </c>
      <c r="B1983">
        <v>6316.45</v>
      </c>
      <c r="C1983">
        <f t="shared" si="30"/>
        <v>2.5906626308363685</v>
      </c>
    </row>
    <row r="1984" spans="1:3" x14ac:dyDescent="0.15">
      <c r="A1984" s="22">
        <v>44008</v>
      </c>
      <c r="B1984">
        <v>6163.5</v>
      </c>
      <c r="C1984">
        <f t="shared" si="30"/>
        <v>2.5279308987105034</v>
      </c>
    </row>
    <row r="1985" spans="1:3" x14ac:dyDescent="0.15">
      <c r="A1985" s="22">
        <v>44011</v>
      </c>
      <c r="B1985">
        <v>6254.78</v>
      </c>
      <c r="C1985">
        <f t="shared" si="30"/>
        <v>2.5653689667618202</v>
      </c>
    </row>
    <row r="1986" spans="1:3" x14ac:dyDescent="0.15">
      <c r="A1986" s="22">
        <v>44012</v>
      </c>
      <c r="B1986">
        <v>6351.67</v>
      </c>
      <c r="C1986">
        <f t="shared" ref="C1986:C2049" si="31">(B1986 / $B$2)</f>
        <v>2.6051079502575716</v>
      </c>
    </row>
    <row r="1987" spans="1:3" x14ac:dyDescent="0.15">
      <c r="A1987" s="22">
        <v>44013</v>
      </c>
      <c r="B1987">
        <v>6383.76</v>
      </c>
      <c r="C1987">
        <f t="shared" si="31"/>
        <v>2.6182695147160158</v>
      </c>
    </row>
    <row r="1988" spans="1:3" x14ac:dyDescent="0.15">
      <c r="A1988" s="22">
        <v>44014</v>
      </c>
      <c r="B1988">
        <v>6414.16</v>
      </c>
      <c r="C1988">
        <f t="shared" si="31"/>
        <v>2.6307379335236409</v>
      </c>
    </row>
    <row r="1989" spans="1:3" x14ac:dyDescent="0.15">
      <c r="A1989" s="22">
        <v>44018</v>
      </c>
      <c r="B1989">
        <v>6516.05</v>
      </c>
      <c r="C1989">
        <f t="shared" si="31"/>
        <v>2.6725276437969621</v>
      </c>
    </row>
    <row r="1990" spans="1:3" x14ac:dyDescent="0.15">
      <c r="A1990" s="22">
        <v>44019</v>
      </c>
      <c r="B1990">
        <v>6445.59</v>
      </c>
      <c r="C1990">
        <f t="shared" si="31"/>
        <v>2.6436288020474459</v>
      </c>
    </row>
    <row r="1991" spans="1:3" x14ac:dyDescent="0.15">
      <c r="A1991" s="22">
        <v>44020</v>
      </c>
      <c r="B1991">
        <v>6496.14</v>
      </c>
      <c r="C1991">
        <f t="shared" si="31"/>
        <v>2.6643616497686784</v>
      </c>
    </row>
    <row r="1992" spans="1:3" x14ac:dyDescent="0.15">
      <c r="A1992" s="22">
        <v>44021</v>
      </c>
      <c r="B1992">
        <v>6461.31</v>
      </c>
      <c r="C1992">
        <f t="shared" si="31"/>
        <v>2.6500762870361259</v>
      </c>
    </row>
    <row r="1993" spans="1:3" x14ac:dyDescent="0.15">
      <c r="A1993" s="22">
        <v>44022</v>
      </c>
      <c r="B1993">
        <v>6528.96</v>
      </c>
      <c r="C1993">
        <f t="shared" si="31"/>
        <v>2.6778226203366473</v>
      </c>
    </row>
    <row r="1994" spans="1:3" x14ac:dyDescent="0.15">
      <c r="A1994" s="22">
        <v>44025</v>
      </c>
      <c r="B1994">
        <v>6467.84</v>
      </c>
      <c r="C1994">
        <f t="shared" si="31"/>
        <v>2.6527545362076324</v>
      </c>
    </row>
    <row r="1995" spans="1:3" x14ac:dyDescent="0.15">
      <c r="A1995" s="22">
        <v>44026</v>
      </c>
      <c r="B1995">
        <v>6555.4</v>
      </c>
      <c r="C1995">
        <f t="shared" si="31"/>
        <v>2.6886668635364375</v>
      </c>
    </row>
    <row r="1996" spans="1:3" x14ac:dyDescent="0.15">
      <c r="A1996" s="22">
        <v>44027</v>
      </c>
      <c r="B1996">
        <v>6615.07</v>
      </c>
      <c r="C1996">
        <f t="shared" si="31"/>
        <v>2.7131402368999575</v>
      </c>
    </row>
    <row r="1997" spans="1:3" x14ac:dyDescent="0.15">
      <c r="A1997" s="22">
        <v>44028</v>
      </c>
      <c r="B1997">
        <v>6592.75</v>
      </c>
      <c r="C1997">
        <f t="shared" si="31"/>
        <v>2.7039857925648851</v>
      </c>
    </row>
    <row r="1998" spans="1:3" x14ac:dyDescent="0.15">
      <c r="A1998" s="22">
        <v>44029</v>
      </c>
      <c r="B1998">
        <v>6611.86</v>
      </c>
      <c r="C1998">
        <f t="shared" si="31"/>
        <v>2.7118236703087573</v>
      </c>
    </row>
    <row r="1999" spans="1:3" x14ac:dyDescent="0.15">
      <c r="A1999" s="22">
        <v>44032</v>
      </c>
      <c r="B1999">
        <v>6667.45</v>
      </c>
      <c r="C1999">
        <f t="shared" si="31"/>
        <v>2.7346236506217805</v>
      </c>
    </row>
    <row r="2000" spans="1:3" x14ac:dyDescent="0.15">
      <c r="A2000" s="22">
        <v>44033</v>
      </c>
      <c r="B2000">
        <v>6678.74</v>
      </c>
      <c r="C2000">
        <f t="shared" si="31"/>
        <v>2.7392541916855335</v>
      </c>
    </row>
    <row r="2001" spans="1:3" x14ac:dyDescent="0.15">
      <c r="A2001" s="22">
        <v>44034</v>
      </c>
      <c r="B2001">
        <v>6717.29</v>
      </c>
      <c r="C2001">
        <f t="shared" si="31"/>
        <v>2.7550652951405978</v>
      </c>
    </row>
    <row r="2002" spans="1:3" x14ac:dyDescent="0.15">
      <c r="A2002" s="22">
        <v>44035</v>
      </c>
      <c r="B2002">
        <v>6635.04</v>
      </c>
      <c r="C2002">
        <f t="shared" si="31"/>
        <v>2.7213308396495721</v>
      </c>
    </row>
    <row r="2003" spans="1:3" x14ac:dyDescent="0.15">
      <c r="A2003" s="22">
        <v>44036</v>
      </c>
      <c r="B2003">
        <v>6594.1</v>
      </c>
      <c r="C2003">
        <f t="shared" si="31"/>
        <v>2.7045394887948291</v>
      </c>
    </row>
    <row r="2004" spans="1:3" x14ac:dyDescent="0.15">
      <c r="A2004" s="22">
        <v>44039</v>
      </c>
      <c r="B2004">
        <v>6642.89</v>
      </c>
      <c r="C2004">
        <f t="shared" si="31"/>
        <v>2.7245504806903571</v>
      </c>
    </row>
    <row r="2005" spans="1:3" x14ac:dyDescent="0.15">
      <c r="A2005" s="22">
        <v>44040</v>
      </c>
      <c r="B2005">
        <v>6599.97</v>
      </c>
      <c r="C2005">
        <f t="shared" si="31"/>
        <v>2.7069470420316963</v>
      </c>
    </row>
    <row r="2006" spans="1:3" x14ac:dyDescent="0.15">
      <c r="A2006" s="22">
        <v>44041</v>
      </c>
      <c r="B2006">
        <v>6682.01</v>
      </c>
      <c r="C2006">
        <f t="shared" si="31"/>
        <v>2.7405953669980643</v>
      </c>
    </row>
    <row r="2007" spans="1:3" x14ac:dyDescent="0.15">
      <c r="A2007" s="22">
        <v>44042</v>
      </c>
      <c r="B2007">
        <v>6658.02</v>
      </c>
      <c r="C2007">
        <f t="shared" si="31"/>
        <v>2.7307559799192838</v>
      </c>
    </row>
    <row r="2008" spans="1:3" x14ac:dyDescent="0.15">
      <c r="A2008" s="22">
        <v>44043</v>
      </c>
      <c r="B2008">
        <v>6709.81</v>
      </c>
      <c r="C2008">
        <f t="shared" si="31"/>
        <v>2.7519974078813534</v>
      </c>
    </row>
    <row r="2009" spans="1:3" x14ac:dyDescent="0.15">
      <c r="A2009" s="22">
        <v>44046</v>
      </c>
      <c r="B2009">
        <v>6758.2</v>
      </c>
      <c r="C2009">
        <f t="shared" si="31"/>
        <v>2.7718443416346754</v>
      </c>
    </row>
    <row r="2010" spans="1:3" x14ac:dyDescent="0.15">
      <c r="A2010" s="22">
        <v>44047</v>
      </c>
      <c r="B2010">
        <v>6782.6</v>
      </c>
      <c r="C2010">
        <f t="shared" si="31"/>
        <v>2.7818518883092169</v>
      </c>
    </row>
    <row r="2011" spans="1:3" x14ac:dyDescent="0.15">
      <c r="A2011" s="22">
        <v>44048</v>
      </c>
      <c r="B2011">
        <v>6826.22</v>
      </c>
      <c r="C2011">
        <f t="shared" si="31"/>
        <v>2.7997424287167374</v>
      </c>
    </row>
    <row r="2012" spans="1:3" x14ac:dyDescent="0.15">
      <c r="A2012" s="22">
        <v>44049</v>
      </c>
      <c r="B2012">
        <v>6870.86</v>
      </c>
      <c r="C2012">
        <f t="shared" si="31"/>
        <v>2.8180513173868817</v>
      </c>
    </row>
    <row r="2013" spans="1:3" x14ac:dyDescent="0.15">
      <c r="A2013" s="22">
        <v>44050</v>
      </c>
      <c r="B2013">
        <v>6876.65</v>
      </c>
      <c r="C2013">
        <f t="shared" si="31"/>
        <v>2.8204260589953081</v>
      </c>
    </row>
    <row r="2014" spans="1:3" x14ac:dyDescent="0.15">
      <c r="A2014" s="22">
        <v>44053</v>
      </c>
      <c r="B2014">
        <v>6895.59</v>
      </c>
      <c r="C2014">
        <f t="shared" si="31"/>
        <v>2.8281942120287433</v>
      </c>
    </row>
    <row r="2015" spans="1:3" x14ac:dyDescent="0.15">
      <c r="A2015" s="22">
        <v>44054</v>
      </c>
      <c r="B2015">
        <v>6840.67</v>
      </c>
      <c r="C2015">
        <f t="shared" si="31"/>
        <v>2.8056690291039148</v>
      </c>
    </row>
    <row r="2016" spans="1:3" x14ac:dyDescent="0.15">
      <c r="A2016" s="22">
        <v>44055</v>
      </c>
      <c r="B2016">
        <v>6937.44</v>
      </c>
      <c r="C2016">
        <f t="shared" si="31"/>
        <v>2.8453587951570039</v>
      </c>
    </row>
    <row r="2017" spans="1:3" x14ac:dyDescent="0.15">
      <c r="A2017" s="22">
        <v>44056</v>
      </c>
      <c r="B2017">
        <v>6924.96</v>
      </c>
      <c r="C2017">
        <f t="shared" si="31"/>
        <v>2.8402401811201892</v>
      </c>
    </row>
    <row r="2018" spans="1:3" x14ac:dyDescent="0.15">
      <c r="A2018" s="22">
        <v>44057</v>
      </c>
      <c r="B2018">
        <v>6924.28</v>
      </c>
      <c r="C2018">
        <f t="shared" si="31"/>
        <v>2.8399612822784395</v>
      </c>
    </row>
    <row r="2019" spans="1:3" x14ac:dyDescent="0.15">
      <c r="A2019" s="22">
        <v>44060</v>
      </c>
      <c r="B2019">
        <v>6943.22</v>
      </c>
      <c r="C2019">
        <f t="shared" si="31"/>
        <v>2.8477294353118747</v>
      </c>
    </row>
    <row r="2020" spans="1:3" x14ac:dyDescent="0.15">
      <c r="A2020" s="22">
        <v>44061</v>
      </c>
      <c r="B2020">
        <v>6960.3</v>
      </c>
      <c r="C2020">
        <f t="shared" si="31"/>
        <v>2.8547347179840536</v>
      </c>
    </row>
    <row r="2021" spans="1:3" x14ac:dyDescent="0.15">
      <c r="A2021" s="22">
        <v>44062</v>
      </c>
      <c r="B2021">
        <v>6930.8</v>
      </c>
      <c r="C2021">
        <f t="shared" si="31"/>
        <v>2.842635429996391</v>
      </c>
    </row>
    <row r="2022" spans="1:3" x14ac:dyDescent="0.15">
      <c r="A2022" s="22">
        <v>44063</v>
      </c>
      <c r="B2022">
        <v>6952.92</v>
      </c>
      <c r="C2022">
        <f t="shared" si="31"/>
        <v>2.8517078452603606</v>
      </c>
    </row>
    <row r="2023" spans="1:3" x14ac:dyDescent="0.15">
      <c r="A2023" s="22">
        <v>44064</v>
      </c>
      <c r="B2023">
        <v>6977.27</v>
      </c>
      <c r="C2023">
        <f t="shared" si="31"/>
        <v>2.8616948846671262</v>
      </c>
    </row>
    <row r="2024" spans="1:3" x14ac:dyDescent="0.15">
      <c r="A2024" s="22">
        <v>44067</v>
      </c>
      <c r="B2024">
        <v>7048.17</v>
      </c>
      <c r="C2024">
        <f t="shared" si="31"/>
        <v>2.8907741903730684</v>
      </c>
    </row>
    <row r="2025" spans="1:3" x14ac:dyDescent="0.15">
      <c r="A2025" s="22">
        <v>44068</v>
      </c>
      <c r="B2025">
        <v>7073.6</v>
      </c>
      <c r="C2025">
        <f t="shared" si="31"/>
        <v>2.9012041867637892</v>
      </c>
    </row>
    <row r="2026" spans="1:3" x14ac:dyDescent="0.15">
      <c r="A2026" s="22">
        <v>44069</v>
      </c>
      <c r="B2026">
        <v>7145.77</v>
      </c>
      <c r="C2026">
        <f t="shared" si="31"/>
        <v>2.9308043770712344</v>
      </c>
    </row>
    <row r="2027" spans="1:3" x14ac:dyDescent="0.15">
      <c r="A2027" s="22">
        <v>44070</v>
      </c>
      <c r="B2027">
        <v>7158.18</v>
      </c>
      <c r="C2027">
        <f t="shared" si="31"/>
        <v>2.9358942809331632</v>
      </c>
    </row>
    <row r="2028" spans="1:3" x14ac:dyDescent="0.15">
      <c r="A2028" s="22">
        <v>44071</v>
      </c>
      <c r="B2028">
        <v>7207.1</v>
      </c>
      <c r="C2028">
        <f t="shared" si="31"/>
        <v>2.9559585917249076</v>
      </c>
    </row>
    <row r="2029" spans="1:3" x14ac:dyDescent="0.15">
      <c r="A2029" s="22">
        <v>44074</v>
      </c>
      <c r="B2029">
        <v>7192.11</v>
      </c>
      <c r="C2029">
        <f t="shared" si="31"/>
        <v>2.9498105128457528</v>
      </c>
    </row>
    <row r="2030" spans="1:3" x14ac:dyDescent="0.15">
      <c r="A2030" s="22">
        <v>44075</v>
      </c>
      <c r="B2030">
        <v>7246.37</v>
      </c>
      <c r="C2030">
        <f t="shared" si="31"/>
        <v>2.9720649998359421</v>
      </c>
    </row>
    <row r="2031" spans="1:3" x14ac:dyDescent="0.15">
      <c r="A2031" s="22">
        <v>44076</v>
      </c>
      <c r="B2031">
        <v>7358.49</v>
      </c>
      <c r="C2031">
        <f t="shared" si="31"/>
        <v>3.018050497096171</v>
      </c>
    </row>
    <row r="2032" spans="1:3" x14ac:dyDescent="0.15">
      <c r="A2032" s="22">
        <v>44077</v>
      </c>
      <c r="B2032">
        <v>7101.38</v>
      </c>
      <c r="C2032">
        <f t="shared" si="31"/>
        <v>2.9125980247399679</v>
      </c>
    </row>
    <row r="2033" spans="1:3" x14ac:dyDescent="0.15">
      <c r="A2033" s="22">
        <v>44078</v>
      </c>
      <c r="B2033">
        <v>7043.62</v>
      </c>
      <c r="C2033">
        <f t="shared" si="31"/>
        <v>2.8889080290054796</v>
      </c>
    </row>
    <row r="2034" spans="1:3" x14ac:dyDescent="0.15">
      <c r="A2034" s="22">
        <v>44082</v>
      </c>
      <c r="B2034">
        <v>6848.42</v>
      </c>
      <c r="C2034">
        <f t="shared" si="31"/>
        <v>2.808847655609148</v>
      </c>
    </row>
    <row r="2035" spans="1:3" x14ac:dyDescent="0.15">
      <c r="A2035" s="22">
        <v>44083</v>
      </c>
      <c r="B2035">
        <v>6986.76</v>
      </c>
      <c r="C2035">
        <f t="shared" si="31"/>
        <v>2.8655871640909543</v>
      </c>
    </row>
    <row r="2036" spans="1:3" x14ac:dyDescent="0.15">
      <c r="A2036" s="22">
        <v>44084</v>
      </c>
      <c r="B2036">
        <v>6864.23</v>
      </c>
      <c r="C2036">
        <f t="shared" si="31"/>
        <v>2.8153320536798243</v>
      </c>
    </row>
    <row r="2037" spans="1:3" x14ac:dyDescent="0.15">
      <c r="A2037" s="22">
        <v>44085</v>
      </c>
      <c r="B2037">
        <v>6868.22</v>
      </c>
      <c r="C2037">
        <f t="shared" si="31"/>
        <v>2.8169685336483252</v>
      </c>
    </row>
    <row r="2038" spans="1:3" x14ac:dyDescent="0.15">
      <c r="A2038" s="22">
        <v>44088</v>
      </c>
      <c r="B2038">
        <v>6957.91</v>
      </c>
      <c r="C2038">
        <f t="shared" si="31"/>
        <v>2.8537544705843754</v>
      </c>
    </row>
    <row r="2039" spans="1:3" x14ac:dyDescent="0.15">
      <c r="A2039" s="22">
        <v>44089</v>
      </c>
      <c r="B2039">
        <v>6994.33</v>
      </c>
      <c r="C2039">
        <f t="shared" si="31"/>
        <v>2.8686919644321951</v>
      </c>
    </row>
    <row r="2040" spans="1:3" x14ac:dyDescent="0.15">
      <c r="A2040" s="22">
        <v>44090</v>
      </c>
      <c r="B2040">
        <v>6962.29</v>
      </c>
      <c r="C2040">
        <f t="shared" si="31"/>
        <v>2.8555509072415264</v>
      </c>
    </row>
    <row r="2041" spans="1:3" x14ac:dyDescent="0.15">
      <c r="A2041" s="22">
        <v>44091</v>
      </c>
      <c r="B2041">
        <v>6903.82</v>
      </c>
      <c r="C2041">
        <f t="shared" si="31"/>
        <v>2.8315697083046234</v>
      </c>
    </row>
    <row r="2042" spans="1:3" x14ac:dyDescent="0.15">
      <c r="A2042" s="22">
        <v>44092</v>
      </c>
      <c r="B2042">
        <v>6826.72</v>
      </c>
      <c r="C2042">
        <f t="shared" si="31"/>
        <v>2.7999475013944943</v>
      </c>
    </row>
    <row r="2043" spans="1:3" x14ac:dyDescent="0.15">
      <c r="A2043" s="22">
        <v>44095</v>
      </c>
      <c r="B2043">
        <v>6748.08</v>
      </c>
      <c r="C2043">
        <f t="shared" si="31"/>
        <v>2.767693670636874</v>
      </c>
    </row>
    <row r="2044" spans="1:3" x14ac:dyDescent="0.15">
      <c r="A2044" s="22">
        <v>44096</v>
      </c>
      <c r="B2044">
        <v>6819.08</v>
      </c>
      <c r="C2044">
        <f t="shared" si="31"/>
        <v>2.7968139908783676</v>
      </c>
    </row>
    <row r="2045" spans="1:3" x14ac:dyDescent="0.15">
      <c r="A2045" s="22">
        <v>44097</v>
      </c>
      <c r="B2045">
        <v>6657.82</v>
      </c>
      <c r="C2045">
        <f t="shared" si="31"/>
        <v>2.7306739508481805</v>
      </c>
    </row>
    <row r="2046" spans="1:3" x14ac:dyDescent="0.15">
      <c r="A2046" s="22">
        <v>44098</v>
      </c>
      <c r="B2046">
        <v>6678.04</v>
      </c>
      <c r="C2046">
        <f t="shared" si="31"/>
        <v>2.7389670899366738</v>
      </c>
    </row>
    <row r="2047" spans="1:3" x14ac:dyDescent="0.15">
      <c r="A2047" s="22">
        <v>44099</v>
      </c>
      <c r="B2047">
        <v>6784.95</v>
      </c>
      <c r="C2047">
        <f t="shared" si="31"/>
        <v>2.7828157298946747</v>
      </c>
    </row>
    <row r="2048" spans="1:3" x14ac:dyDescent="0.15">
      <c r="A2048" s="22">
        <v>44102</v>
      </c>
      <c r="B2048">
        <v>6894.27</v>
      </c>
      <c r="C2048">
        <f t="shared" si="31"/>
        <v>2.8276528201594648</v>
      </c>
    </row>
    <row r="2049" spans="1:3" x14ac:dyDescent="0.15">
      <c r="A2049" s="22">
        <v>44103</v>
      </c>
      <c r="B2049">
        <v>6861.96</v>
      </c>
      <c r="C2049">
        <f t="shared" si="31"/>
        <v>2.8144010237228074</v>
      </c>
    </row>
    <row r="2050" spans="1:3" x14ac:dyDescent="0.15">
      <c r="A2050" s="22">
        <v>44104</v>
      </c>
      <c r="B2050">
        <v>6918.83</v>
      </c>
      <c r="C2050">
        <f t="shared" ref="C2050:C2113" si="32">(B2050 / $B$2)</f>
        <v>2.8377259900908882</v>
      </c>
    </row>
    <row r="2051" spans="1:3" x14ac:dyDescent="0.15">
      <c r="A2051" s="22">
        <v>44105</v>
      </c>
      <c r="B2051">
        <v>6956.2</v>
      </c>
      <c r="C2051">
        <f t="shared" si="32"/>
        <v>2.8530531220264463</v>
      </c>
    </row>
    <row r="2052" spans="1:3" x14ac:dyDescent="0.15">
      <c r="A2052" s="22">
        <v>44106</v>
      </c>
      <c r="B2052">
        <v>6889.65</v>
      </c>
      <c r="C2052">
        <f t="shared" si="32"/>
        <v>2.8257579486169897</v>
      </c>
    </row>
    <row r="2053" spans="1:3" x14ac:dyDescent="0.15">
      <c r="A2053" s="22">
        <v>44109</v>
      </c>
      <c r="B2053">
        <v>7014.23</v>
      </c>
      <c r="C2053">
        <f t="shared" si="32"/>
        <v>2.8768538570069233</v>
      </c>
    </row>
    <row r="2054" spans="1:3" x14ac:dyDescent="0.15">
      <c r="A2054" s="22">
        <v>44110</v>
      </c>
      <c r="B2054">
        <v>6916.4</v>
      </c>
      <c r="C2054">
        <f t="shared" si="32"/>
        <v>2.836729336876989</v>
      </c>
    </row>
    <row r="2055" spans="1:3" x14ac:dyDescent="0.15">
      <c r="A2055" s="22">
        <v>44111</v>
      </c>
      <c r="B2055">
        <v>7036.91</v>
      </c>
      <c r="C2055">
        <f t="shared" si="32"/>
        <v>2.8861559536699808</v>
      </c>
    </row>
    <row r="2056" spans="1:3" x14ac:dyDescent="0.15">
      <c r="A2056" s="22">
        <v>44112</v>
      </c>
      <c r="B2056">
        <v>7095.4</v>
      </c>
      <c r="C2056">
        <f t="shared" si="32"/>
        <v>2.9101453555139942</v>
      </c>
    </row>
    <row r="2057" spans="1:3" x14ac:dyDescent="0.15">
      <c r="A2057" s="22">
        <v>44113</v>
      </c>
      <c r="B2057">
        <v>7157.92</v>
      </c>
      <c r="C2057">
        <f t="shared" si="32"/>
        <v>2.9357876431407295</v>
      </c>
    </row>
    <row r="2058" spans="1:3" x14ac:dyDescent="0.15">
      <c r="A2058" s="22">
        <v>44116</v>
      </c>
      <c r="B2058">
        <v>7275.43</v>
      </c>
      <c r="C2058">
        <f t="shared" si="32"/>
        <v>2.9839838238671788</v>
      </c>
    </row>
    <row r="2059" spans="1:3" x14ac:dyDescent="0.15">
      <c r="A2059" s="22">
        <v>44117</v>
      </c>
      <c r="B2059">
        <v>7229.55</v>
      </c>
      <c r="C2059">
        <f t="shared" si="32"/>
        <v>2.9651663549561968</v>
      </c>
    </row>
    <row r="2060" spans="1:3" x14ac:dyDescent="0.15">
      <c r="A2060" s="22">
        <v>44118</v>
      </c>
      <c r="B2060">
        <v>7182.38</v>
      </c>
      <c r="C2060">
        <f t="shared" si="32"/>
        <v>2.9458197985366015</v>
      </c>
    </row>
    <row r="2061" spans="1:3" x14ac:dyDescent="0.15">
      <c r="A2061" s="22">
        <v>44119</v>
      </c>
      <c r="B2061">
        <v>7171.61</v>
      </c>
      <c r="C2061">
        <f t="shared" si="32"/>
        <v>2.9414025330577158</v>
      </c>
    </row>
    <row r="2062" spans="1:3" x14ac:dyDescent="0.15">
      <c r="A2062" s="22">
        <v>44120</v>
      </c>
      <c r="B2062">
        <v>7172.7</v>
      </c>
      <c r="C2062">
        <f t="shared" si="32"/>
        <v>2.9418495914952261</v>
      </c>
    </row>
    <row r="2063" spans="1:3" x14ac:dyDescent="0.15">
      <c r="A2063" s="22">
        <v>44123</v>
      </c>
      <c r="B2063">
        <v>7055.58</v>
      </c>
      <c r="C2063">
        <f t="shared" si="32"/>
        <v>2.8938133674574269</v>
      </c>
    </row>
    <row r="2064" spans="1:3" x14ac:dyDescent="0.15">
      <c r="A2064" s="22">
        <v>44124</v>
      </c>
      <c r="B2064">
        <v>7089.06</v>
      </c>
      <c r="C2064">
        <f t="shared" si="32"/>
        <v>2.9075450339600359</v>
      </c>
    </row>
    <row r="2065" spans="1:3" x14ac:dyDescent="0.15">
      <c r="A2065" s="22">
        <v>44125</v>
      </c>
      <c r="B2065">
        <v>7073.65</v>
      </c>
      <c r="C2065">
        <f t="shared" si="32"/>
        <v>2.9012246940315647</v>
      </c>
    </row>
    <row r="2066" spans="1:3" x14ac:dyDescent="0.15">
      <c r="A2066" s="22">
        <v>44126</v>
      </c>
      <c r="B2066">
        <v>7111.17</v>
      </c>
      <c r="C2066">
        <f t="shared" si="32"/>
        <v>2.9166133477704501</v>
      </c>
    </row>
    <row r="2067" spans="1:3" x14ac:dyDescent="0.15">
      <c r="A2067" s="22">
        <v>44127</v>
      </c>
      <c r="B2067">
        <v>7135.81</v>
      </c>
      <c r="C2067">
        <f t="shared" si="32"/>
        <v>2.9267193293303149</v>
      </c>
    </row>
    <row r="2068" spans="1:3" x14ac:dyDescent="0.15">
      <c r="A2068" s="22">
        <v>44130</v>
      </c>
      <c r="B2068">
        <v>7003.21</v>
      </c>
      <c r="C2068">
        <f t="shared" si="32"/>
        <v>2.8723340551891594</v>
      </c>
    </row>
    <row r="2069" spans="1:3" x14ac:dyDescent="0.15">
      <c r="A2069" s="22">
        <v>44131</v>
      </c>
      <c r="B2069">
        <v>6982.14</v>
      </c>
      <c r="C2069">
        <f t="shared" si="32"/>
        <v>2.8636922925484796</v>
      </c>
    </row>
    <row r="2070" spans="1:3" x14ac:dyDescent="0.15">
      <c r="A2070" s="22">
        <v>44132</v>
      </c>
      <c r="B2070">
        <v>6735.75</v>
      </c>
      <c r="C2070">
        <f t="shared" si="32"/>
        <v>2.7626365784033862</v>
      </c>
    </row>
    <row r="2071" spans="1:3" x14ac:dyDescent="0.15">
      <c r="A2071" s="22">
        <v>44133</v>
      </c>
      <c r="B2071">
        <v>6816.79</v>
      </c>
      <c r="C2071">
        <f t="shared" si="32"/>
        <v>2.7958747580142402</v>
      </c>
    </row>
    <row r="2072" spans="1:3" x14ac:dyDescent="0.15">
      <c r="A2072" s="22">
        <v>44134</v>
      </c>
      <c r="B2072">
        <v>6734.84</v>
      </c>
      <c r="C2072">
        <f t="shared" si="32"/>
        <v>2.7622633461298687</v>
      </c>
    </row>
    <row r="2073" spans="1:3" x14ac:dyDescent="0.15">
      <c r="A2073" s="22">
        <v>44137</v>
      </c>
      <c r="B2073">
        <v>6817.89</v>
      </c>
      <c r="C2073">
        <f t="shared" si="32"/>
        <v>2.7963259179053059</v>
      </c>
    </row>
    <row r="2074" spans="1:3" x14ac:dyDescent="0.15">
      <c r="A2074" s="22">
        <v>44138</v>
      </c>
      <c r="B2074">
        <v>6939.03</v>
      </c>
      <c r="C2074">
        <f t="shared" si="32"/>
        <v>2.846010926272271</v>
      </c>
    </row>
    <row r="2075" spans="1:3" x14ac:dyDescent="0.15">
      <c r="A2075" s="22">
        <v>44139</v>
      </c>
      <c r="B2075">
        <v>7092.3</v>
      </c>
      <c r="C2075">
        <f t="shared" si="32"/>
        <v>2.9088739049119012</v>
      </c>
    </row>
    <row r="2076" spans="1:3" x14ac:dyDescent="0.15">
      <c r="A2076" s="22">
        <v>44140</v>
      </c>
      <c r="B2076">
        <v>7231.67</v>
      </c>
      <c r="C2076">
        <f t="shared" si="32"/>
        <v>2.9660358631098864</v>
      </c>
    </row>
    <row r="2077" spans="1:3" x14ac:dyDescent="0.15">
      <c r="A2077" s="22">
        <v>44141</v>
      </c>
      <c r="B2077">
        <v>7230.51</v>
      </c>
      <c r="C2077">
        <f t="shared" si="32"/>
        <v>2.9655600944974903</v>
      </c>
    </row>
    <row r="2078" spans="1:3" x14ac:dyDescent="0.15">
      <c r="A2078" s="22">
        <v>44144</v>
      </c>
      <c r="B2078">
        <v>7315.77</v>
      </c>
      <c r="C2078">
        <f t="shared" si="32"/>
        <v>3.0005290875086135</v>
      </c>
    </row>
    <row r="2079" spans="1:3" x14ac:dyDescent="0.15">
      <c r="A2079" s="22">
        <v>44145</v>
      </c>
      <c r="B2079">
        <v>7306.75</v>
      </c>
      <c r="C2079">
        <f t="shared" si="32"/>
        <v>2.9968295764018769</v>
      </c>
    </row>
    <row r="2080" spans="1:3" x14ac:dyDescent="0.15">
      <c r="A2080" s="22">
        <v>44146</v>
      </c>
      <c r="B2080">
        <v>7362.65</v>
      </c>
      <c r="C2080">
        <f t="shared" si="32"/>
        <v>3.0197567017751092</v>
      </c>
    </row>
    <row r="2081" spans="1:3" x14ac:dyDescent="0.15">
      <c r="A2081" s="22">
        <v>44147</v>
      </c>
      <c r="B2081">
        <v>7290.69</v>
      </c>
      <c r="C2081">
        <f t="shared" si="32"/>
        <v>2.9902426419923223</v>
      </c>
    </row>
    <row r="2082" spans="1:3" x14ac:dyDescent="0.15">
      <c r="A2082" s="22">
        <v>44148</v>
      </c>
      <c r="B2082">
        <v>7390.61</v>
      </c>
      <c r="C2082">
        <f t="shared" si="32"/>
        <v>3.0312243659152802</v>
      </c>
    </row>
    <row r="2083" spans="1:3" x14ac:dyDescent="0.15">
      <c r="A2083" s="22">
        <v>44151</v>
      </c>
      <c r="B2083">
        <v>7476.79</v>
      </c>
      <c r="C2083">
        <f t="shared" si="32"/>
        <v>3.0665706926534764</v>
      </c>
    </row>
    <row r="2084" spans="1:3" x14ac:dyDescent="0.15">
      <c r="A2084" s="22">
        <v>44152</v>
      </c>
      <c r="B2084">
        <v>7442.04</v>
      </c>
      <c r="C2084">
        <f t="shared" si="32"/>
        <v>3.0523181415493652</v>
      </c>
    </row>
    <row r="2085" spans="1:3" x14ac:dyDescent="0.15">
      <c r="A2085" s="22">
        <v>44153</v>
      </c>
      <c r="B2085">
        <v>7357.34</v>
      </c>
      <c r="C2085">
        <f t="shared" si="32"/>
        <v>3.0175788299373298</v>
      </c>
    </row>
    <row r="2086" spans="1:3" x14ac:dyDescent="0.15">
      <c r="A2086" s="22">
        <v>44154</v>
      </c>
      <c r="B2086">
        <v>7386.86</v>
      </c>
      <c r="C2086">
        <f t="shared" si="32"/>
        <v>3.029686320832103</v>
      </c>
    </row>
    <row r="2087" spans="1:3" x14ac:dyDescent="0.15">
      <c r="A2087" s="22">
        <v>44155</v>
      </c>
      <c r="B2087">
        <v>7336.76</v>
      </c>
      <c r="C2087">
        <f t="shared" si="32"/>
        <v>3.0091380385208519</v>
      </c>
    </row>
    <row r="2088" spans="1:3" x14ac:dyDescent="0.15">
      <c r="A2088" s="22">
        <v>44158</v>
      </c>
      <c r="B2088">
        <v>7378.94</v>
      </c>
      <c r="C2088">
        <f t="shared" si="32"/>
        <v>3.0264379696164321</v>
      </c>
    </row>
    <row r="2089" spans="1:3" x14ac:dyDescent="0.15">
      <c r="A2089" s="22">
        <v>44159</v>
      </c>
      <c r="B2089">
        <v>7498.29</v>
      </c>
      <c r="C2089">
        <f t="shared" si="32"/>
        <v>3.0753888177970272</v>
      </c>
    </row>
    <row r="2090" spans="1:3" x14ac:dyDescent="0.15">
      <c r="A2090" s="22">
        <v>44160</v>
      </c>
      <c r="B2090">
        <v>7486.68</v>
      </c>
      <c r="C2090">
        <f t="shared" si="32"/>
        <v>3.07062703021951</v>
      </c>
    </row>
    <row r="2091" spans="1:3" x14ac:dyDescent="0.15">
      <c r="A2091" s="22">
        <v>44162</v>
      </c>
      <c r="B2091">
        <v>7505.38</v>
      </c>
      <c r="C2091">
        <f t="shared" si="32"/>
        <v>3.0782967483676216</v>
      </c>
    </row>
    <row r="2092" spans="1:3" x14ac:dyDescent="0.15">
      <c r="A2092" s="22">
        <v>44165</v>
      </c>
      <c r="B2092">
        <v>7472.06</v>
      </c>
      <c r="C2092">
        <f t="shared" si="32"/>
        <v>3.0646307051218957</v>
      </c>
    </row>
    <row r="2093" spans="1:3" x14ac:dyDescent="0.15">
      <c r="A2093" s="22">
        <v>44166</v>
      </c>
      <c r="B2093">
        <v>7556.51</v>
      </c>
      <c r="C2093">
        <f t="shared" si="32"/>
        <v>3.0992674803950524</v>
      </c>
    </row>
    <row r="2094" spans="1:3" x14ac:dyDescent="0.15">
      <c r="A2094" s="22">
        <v>44167</v>
      </c>
      <c r="B2094">
        <v>7570.76</v>
      </c>
      <c r="C2094">
        <f t="shared" si="32"/>
        <v>3.1051120517111266</v>
      </c>
    </row>
    <row r="2095" spans="1:3" x14ac:dyDescent="0.15">
      <c r="A2095" s="22">
        <v>44168</v>
      </c>
      <c r="B2095">
        <v>7567.44</v>
      </c>
      <c r="C2095">
        <f t="shared" si="32"/>
        <v>3.1037503691308199</v>
      </c>
    </row>
    <row r="2096" spans="1:3" x14ac:dyDescent="0.15">
      <c r="A2096" s="22">
        <v>44169</v>
      </c>
      <c r="B2096">
        <v>7634.77</v>
      </c>
      <c r="C2096">
        <f t="shared" si="32"/>
        <v>3.1313654559175776</v>
      </c>
    </row>
    <row r="2097" spans="1:3" x14ac:dyDescent="0.15">
      <c r="A2097" s="22">
        <v>44172</v>
      </c>
      <c r="B2097">
        <v>7620</v>
      </c>
      <c r="C2097">
        <f t="shared" si="32"/>
        <v>3.1253076090166356</v>
      </c>
    </row>
    <row r="2098" spans="1:3" x14ac:dyDescent="0.15">
      <c r="A2098" s="22">
        <v>44173</v>
      </c>
      <c r="B2098">
        <v>7641.43</v>
      </c>
      <c r="C2098">
        <f t="shared" si="32"/>
        <v>3.1340970239853005</v>
      </c>
    </row>
    <row r="2099" spans="1:3" x14ac:dyDescent="0.15">
      <c r="A2099" s="22">
        <v>44174</v>
      </c>
      <c r="B2099">
        <v>7581.06</v>
      </c>
      <c r="C2099">
        <f t="shared" si="32"/>
        <v>3.1093365488729208</v>
      </c>
    </row>
    <row r="2100" spans="1:3" x14ac:dyDescent="0.15">
      <c r="A2100" s="22">
        <v>44175</v>
      </c>
      <c r="B2100">
        <v>7571.87</v>
      </c>
      <c r="C2100">
        <f t="shared" si="32"/>
        <v>3.1055673130557473</v>
      </c>
    </row>
    <row r="2101" spans="1:3" x14ac:dyDescent="0.15">
      <c r="A2101" s="22">
        <v>44176</v>
      </c>
      <c r="B2101">
        <v>7562.46</v>
      </c>
      <c r="C2101">
        <f t="shared" si="32"/>
        <v>3.1017078452603606</v>
      </c>
    </row>
    <row r="2102" spans="1:3" x14ac:dyDescent="0.15">
      <c r="A2102" s="22">
        <v>44179</v>
      </c>
      <c r="B2102">
        <v>7530.87</v>
      </c>
      <c r="C2102">
        <f t="shared" si="32"/>
        <v>3.0887513534796733</v>
      </c>
    </row>
    <row r="2103" spans="1:3" x14ac:dyDescent="0.15">
      <c r="A2103" s="22">
        <v>44180</v>
      </c>
      <c r="B2103">
        <v>7628.28</v>
      </c>
      <c r="C2103">
        <f t="shared" si="32"/>
        <v>3.1287036125602916</v>
      </c>
    </row>
    <row r="2104" spans="1:3" x14ac:dyDescent="0.15">
      <c r="A2104" s="22">
        <v>44181</v>
      </c>
      <c r="B2104">
        <v>7641.82</v>
      </c>
      <c r="C2104">
        <f t="shared" si="32"/>
        <v>3.1342569806739511</v>
      </c>
    </row>
    <row r="2105" spans="1:3" x14ac:dyDescent="0.15">
      <c r="A2105" s="22">
        <v>44182</v>
      </c>
      <c r="B2105">
        <v>7686.18</v>
      </c>
      <c r="C2105">
        <f t="shared" si="32"/>
        <v>3.1524510286445517</v>
      </c>
    </row>
    <row r="2106" spans="1:3" x14ac:dyDescent="0.15">
      <c r="A2106" s="22">
        <v>44183</v>
      </c>
      <c r="B2106">
        <v>7659.75</v>
      </c>
      <c r="C2106">
        <f t="shared" si="32"/>
        <v>3.141610886898317</v>
      </c>
    </row>
    <row r="2107" spans="1:3" x14ac:dyDescent="0.15">
      <c r="A2107" s="22">
        <v>44186</v>
      </c>
      <c r="B2107">
        <v>7630.07</v>
      </c>
      <c r="C2107">
        <f t="shared" si="32"/>
        <v>3.1294377727466616</v>
      </c>
    </row>
    <row r="2108" spans="1:3" x14ac:dyDescent="0.15">
      <c r="A2108" s="22">
        <v>44187</v>
      </c>
      <c r="B2108">
        <v>7614.83</v>
      </c>
      <c r="C2108">
        <f t="shared" si="32"/>
        <v>3.1231871575286285</v>
      </c>
    </row>
    <row r="2109" spans="1:3" x14ac:dyDescent="0.15">
      <c r="A2109" s="22">
        <v>44188</v>
      </c>
      <c r="B2109">
        <v>7620.63</v>
      </c>
      <c r="C2109">
        <f t="shared" si="32"/>
        <v>3.1255660005906094</v>
      </c>
    </row>
    <row r="2110" spans="1:3" x14ac:dyDescent="0.15">
      <c r="A2110" s="22">
        <v>44189</v>
      </c>
      <c r="B2110">
        <v>7648.39</v>
      </c>
      <c r="C2110">
        <f t="shared" si="32"/>
        <v>3.1369516356596781</v>
      </c>
    </row>
    <row r="2111" spans="1:3" x14ac:dyDescent="0.15">
      <c r="A2111" s="22">
        <v>44193</v>
      </c>
      <c r="B2111">
        <v>7715.1</v>
      </c>
      <c r="C2111">
        <f t="shared" si="32"/>
        <v>3.1643124323260166</v>
      </c>
    </row>
    <row r="2112" spans="1:3" x14ac:dyDescent="0.15">
      <c r="A2112" s="22">
        <v>44194</v>
      </c>
      <c r="B2112">
        <v>7697.93</v>
      </c>
      <c r="C2112">
        <f t="shared" si="32"/>
        <v>3.1572702365718412</v>
      </c>
    </row>
    <row r="2113" spans="1:3" x14ac:dyDescent="0.15">
      <c r="A2113" s="22">
        <v>44195</v>
      </c>
      <c r="B2113">
        <v>7709.1</v>
      </c>
      <c r="C2113">
        <f t="shared" si="32"/>
        <v>3.1618515601929329</v>
      </c>
    </row>
    <row r="2114" spans="1:3" x14ac:dyDescent="0.15">
      <c r="A2114" s="22">
        <v>44196</v>
      </c>
      <c r="B2114">
        <v>7759.35</v>
      </c>
      <c r="C2114">
        <f t="shared" ref="C2114:C2177" si="33">(B2114 / $B$2)</f>
        <v>3.1824613643075108</v>
      </c>
    </row>
    <row r="2115" spans="1:3" x14ac:dyDescent="0.15">
      <c r="A2115" s="22">
        <v>44200</v>
      </c>
      <c r="B2115">
        <v>7645.27</v>
      </c>
      <c r="C2115">
        <f t="shared" si="33"/>
        <v>3.1356719821504746</v>
      </c>
    </row>
    <row r="2116" spans="1:3" x14ac:dyDescent="0.15">
      <c r="A2116" s="22">
        <v>44201</v>
      </c>
      <c r="B2116">
        <v>7700.34</v>
      </c>
      <c r="C2116">
        <f t="shared" si="33"/>
        <v>3.15825868687863</v>
      </c>
    </row>
    <row r="2117" spans="1:3" x14ac:dyDescent="0.15">
      <c r="A2117" s="22">
        <v>44202</v>
      </c>
      <c r="B2117">
        <v>7744.43</v>
      </c>
      <c r="C2117">
        <f t="shared" si="33"/>
        <v>3.1763419956032419</v>
      </c>
    </row>
    <row r="2118" spans="1:3" x14ac:dyDescent="0.15">
      <c r="A2118" s="22">
        <v>44203</v>
      </c>
      <c r="B2118">
        <v>7861.1</v>
      </c>
      <c r="C2118">
        <f t="shared" si="33"/>
        <v>3.2241936542310596</v>
      </c>
    </row>
    <row r="2119" spans="1:3" x14ac:dyDescent="0.15">
      <c r="A2119" s="22">
        <v>44204</v>
      </c>
      <c r="B2119">
        <v>7905.28</v>
      </c>
      <c r="C2119">
        <f t="shared" si="33"/>
        <v>3.242313876037668</v>
      </c>
    </row>
    <row r="2120" spans="1:3" x14ac:dyDescent="0.15">
      <c r="A2120" s="22">
        <v>44207</v>
      </c>
      <c r="B2120">
        <v>7853.45</v>
      </c>
      <c r="C2120">
        <f t="shared" si="33"/>
        <v>3.2210560422613774</v>
      </c>
    </row>
    <row r="2121" spans="1:3" x14ac:dyDescent="0.15">
      <c r="A2121" s="22">
        <v>44208</v>
      </c>
      <c r="B2121">
        <v>7856.72</v>
      </c>
      <c r="C2121">
        <f t="shared" si="33"/>
        <v>3.2223972175739086</v>
      </c>
    </row>
    <row r="2122" spans="1:3" x14ac:dyDescent="0.15">
      <c r="A2122" s="22">
        <v>44209</v>
      </c>
      <c r="B2122">
        <v>7874.75</v>
      </c>
      <c r="C2122">
        <f t="shared" si="33"/>
        <v>3.2297921383338255</v>
      </c>
    </row>
    <row r="2123" spans="1:3" x14ac:dyDescent="0.15">
      <c r="A2123" s="22">
        <v>44210</v>
      </c>
      <c r="B2123">
        <v>7846.1</v>
      </c>
      <c r="C2123">
        <f t="shared" si="33"/>
        <v>3.2180414738983498</v>
      </c>
    </row>
    <row r="2124" spans="1:3" x14ac:dyDescent="0.15">
      <c r="A2124" s="22">
        <v>44211</v>
      </c>
      <c r="B2124">
        <v>7789.79</v>
      </c>
      <c r="C2124">
        <f t="shared" si="33"/>
        <v>3.1949461889293569</v>
      </c>
    </row>
    <row r="2125" spans="1:3" x14ac:dyDescent="0.15">
      <c r="A2125" s="22">
        <v>44215</v>
      </c>
      <c r="B2125">
        <v>7853.47</v>
      </c>
      <c r="C2125">
        <f t="shared" si="33"/>
        <v>3.2210642451684879</v>
      </c>
    </row>
    <row r="2126" spans="1:3" x14ac:dyDescent="0.15">
      <c r="A2126" s="22">
        <v>44216</v>
      </c>
      <c r="B2126">
        <v>7962.92</v>
      </c>
      <c r="C2126">
        <f t="shared" si="33"/>
        <v>3.2659546543294944</v>
      </c>
    </row>
    <row r="2127" spans="1:3" x14ac:dyDescent="0.15">
      <c r="A2127" s="22">
        <v>44217</v>
      </c>
      <c r="B2127">
        <v>7966.11</v>
      </c>
      <c r="C2127">
        <f t="shared" si="33"/>
        <v>3.2672630180135842</v>
      </c>
    </row>
    <row r="2128" spans="1:3" x14ac:dyDescent="0.15">
      <c r="A2128" s="22">
        <v>44218</v>
      </c>
      <c r="B2128">
        <v>7942.2</v>
      </c>
      <c r="C2128">
        <f t="shared" si="33"/>
        <v>3.2574564425632446</v>
      </c>
    </row>
    <row r="2129" spans="1:3" x14ac:dyDescent="0.15">
      <c r="A2129" s="22">
        <v>44221</v>
      </c>
      <c r="B2129">
        <v>7970.92</v>
      </c>
      <c r="C2129">
        <f t="shared" si="33"/>
        <v>3.2692358171736067</v>
      </c>
    </row>
    <row r="2130" spans="1:3" x14ac:dyDescent="0.15">
      <c r="A2130" s="22">
        <v>44222</v>
      </c>
      <c r="B2130">
        <v>7959.1</v>
      </c>
      <c r="C2130">
        <f t="shared" si="33"/>
        <v>3.2643878990714312</v>
      </c>
    </row>
    <row r="2131" spans="1:3" x14ac:dyDescent="0.15">
      <c r="A2131" s="22">
        <v>44223</v>
      </c>
      <c r="B2131">
        <v>7754.74</v>
      </c>
      <c r="C2131">
        <f t="shared" si="33"/>
        <v>3.1805705942185911</v>
      </c>
    </row>
    <row r="2132" spans="1:3" x14ac:dyDescent="0.15">
      <c r="A2132" s="22">
        <v>44224</v>
      </c>
      <c r="B2132">
        <v>7831.22</v>
      </c>
      <c r="C2132">
        <f t="shared" si="33"/>
        <v>3.2119385110083019</v>
      </c>
    </row>
    <row r="2133" spans="1:3" x14ac:dyDescent="0.15">
      <c r="A2133" s="22">
        <v>44225</v>
      </c>
      <c r="B2133">
        <v>7681.01</v>
      </c>
      <c r="C2133">
        <f t="shared" si="33"/>
        <v>3.1503305771565446</v>
      </c>
    </row>
    <row r="2134" spans="1:3" x14ac:dyDescent="0.15">
      <c r="A2134" s="22">
        <v>44228</v>
      </c>
      <c r="B2134">
        <v>7804.31</v>
      </c>
      <c r="C2134">
        <f t="shared" si="33"/>
        <v>3.2009014994914202</v>
      </c>
    </row>
    <row r="2135" spans="1:3" x14ac:dyDescent="0.15">
      <c r="A2135" s="22">
        <v>44229</v>
      </c>
      <c r="B2135">
        <v>7912.87</v>
      </c>
      <c r="C2135">
        <f t="shared" si="33"/>
        <v>3.2454268792860193</v>
      </c>
    </row>
    <row r="2136" spans="1:3" x14ac:dyDescent="0.15">
      <c r="A2136" s="22">
        <v>44230</v>
      </c>
      <c r="B2136">
        <v>7920.85</v>
      </c>
      <c r="C2136">
        <f t="shared" si="33"/>
        <v>3.2486998392230211</v>
      </c>
    </row>
    <row r="2137" spans="1:3" x14ac:dyDescent="0.15">
      <c r="A2137" s="22">
        <v>44231</v>
      </c>
      <c r="B2137">
        <v>8007.62</v>
      </c>
      <c r="C2137">
        <f t="shared" si="33"/>
        <v>3.2842881517209701</v>
      </c>
    </row>
    <row r="2138" spans="1:3" x14ac:dyDescent="0.15">
      <c r="A2138" s="22">
        <v>44232</v>
      </c>
      <c r="B2138">
        <v>8039.67</v>
      </c>
      <c r="C2138">
        <f t="shared" si="33"/>
        <v>3.2974333103651938</v>
      </c>
    </row>
    <row r="2139" spans="1:3" x14ac:dyDescent="0.15">
      <c r="A2139" s="22">
        <v>44235</v>
      </c>
      <c r="B2139">
        <v>8099.33</v>
      </c>
      <c r="C2139">
        <f t="shared" si="33"/>
        <v>3.3219025822751584</v>
      </c>
    </row>
    <row r="2140" spans="1:3" x14ac:dyDescent="0.15">
      <c r="A2140" s="22">
        <v>44236</v>
      </c>
      <c r="B2140">
        <v>8091.7</v>
      </c>
      <c r="C2140">
        <f t="shared" si="33"/>
        <v>3.3187731732125867</v>
      </c>
    </row>
    <row r="2141" spans="1:3" x14ac:dyDescent="0.15">
      <c r="A2141" s="22">
        <v>44237</v>
      </c>
      <c r="B2141">
        <v>8089.11</v>
      </c>
      <c r="C2141">
        <f t="shared" si="33"/>
        <v>3.3177108967418052</v>
      </c>
    </row>
    <row r="2142" spans="1:3" x14ac:dyDescent="0.15">
      <c r="A2142" s="22">
        <v>44238</v>
      </c>
      <c r="B2142">
        <v>8104.19</v>
      </c>
      <c r="C2142">
        <f t="shared" si="33"/>
        <v>3.3238958887029564</v>
      </c>
    </row>
    <row r="2143" spans="1:3" x14ac:dyDescent="0.15">
      <c r="A2143" s="22">
        <v>44239</v>
      </c>
      <c r="B2143">
        <v>8142.79</v>
      </c>
      <c r="C2143">
        <f t="shared" si="33"/>
        <v>3.3397274994257966</v>
      </c>
    </row>
    <row r="2144" spans="1:3" x14ac:dyDescent="0.15">
      <c r="A2144" s="22">
        <v>44243</v>
      </c>
      <c r="B2144">
        <v>8139.16</v>
      </c>
      <c r="C2144">
        <f t="shared" si="33"/>
        <v>3.3382386717852808</v>
      </c>
    </row>
    <row r="2145" spans="1:3" x14ac:dyDescent="0.15">
      <c r="A2145" s="22">
        <v>44244</v>
      </c>
      <c r="B2145">
        <v>8137.88</v>
      </c>
      <c r="C2145">
        <f t="shared" si="33"/>
        <v>3.3377136857302232</v>
      </c>
    </row>
    <row r="2146" spans="1:3" x14ac:dyDescent="0.15">
      <c r="A2146" s="22">
        <v>44245</v>
      </c>
      <c r="B2146">
        <v>8102.24</v>
      </c>
      <c r="C2146">
        <f t="shared" si="33"/>
        <v>3.3230961052597041</v>
      </c>
    </row>
    <row r="2147" spans="1:3" x14ac:dyDescent="0.15">
      <c r="A2147" s="22">
        <v>44246</v>
      </c>
      <c r="B2147">
        <v>8087.68</v>
      </c>
      <c r="C2147">
        <f t="shared" si="33"/>
        <v>3.3171243888834208</v>
      </c>
    </row>
    <row r="2148" spans="1:3" x14ac:dyDescent="0.15">
      <c r="A2148" s="22">
        <v>44249</v>
      </c>
      <c r="B2148">
        <v>8025.81</v>
      </c>
      <c r="C2148">
        <f t="shared" si="33"/>
        <v>3.2917486957377697</v>
      </c>
    </row>
    <row r="2149" spans="1:3" x14ac:dyDescent="0.15">
      <c r="A2149" s="22">
        <v>44250</v>
      </c>
      <c r="B2149">
        <v>8036.06</v>
      </c>
      <c r="C2149">
        <f t="shared" si="33"/>
        <v>3.2959526856317884</v>
      </c>
    </row>
    <row r="2150" spans="1:3" x14ac:dyDescent="0.15">
      <c r="A2150" s="22">
        <v>44251</v>
      </c>
      <c r="B2150">
        <v>8127.38</v>
      </c>
      <c r="C2150">
        <f t="shared" si="33"/>
        <v>3.3334071594973262</v>
      </c>
    </row>
    <row r="2151" spans="1:3" x14ac:dyDescent="0.15">
      <c r="A2151" s="22">
        <v>44252</v>
      </c>
      <c r="B2151">
        <v>7929.56</v>
      </c>
      <c r="C2151">
        <f t="shared" si="33"/>
        <v>3.2522722052695481</v>
      </c>
    </row>
    <row r="2152" spans="1:3" x14ac:dyDescent="0.15">
      <c r="A2152" s="22">
        <v>44253</v>
      </c>
      <c r="B2152">
        <v>7892.81</v>
      </c>
      <c r="C2152">
        <f t="shared" si="33"/>
        <v>3.2371993634544087</v>
      </c>
    </row>
    <row r="2153" spans="1:3" x14ac:dyDescent="0.15">
      <c r="A2153" s="22">
        <v>44256</v>
      </c>
      <c r="B2153">
        <v>8080.78</v>
      </c>
      <c r="C2153">
        <f t="shared" si="33"/>
        <v>3.3142943859303737</v>
      </c>
    </row>
    <row r="2154" spans="1:3" x14ac:dyDescent="0.15">
      <c r="A2154" s="22">
        <v>44257</v>
      </c>
      <c r="B2154">
        <v>8015.54</v>
      </c>
      <c r="C2154">
        <f t="shared" si="33"/>
        <v>3.287536502936641</v>
      </c>
    </row>
    <row r="2155" spans="1:3" x14ac:dyDescent="0.15">
      <c r="A2155" s="22">
        <v>44258</v>
      </c>
      <c r="B2155">
        <v>7911.21</v>
      </c>
      <c r="C2155">
        <f t="shared" si="33"/>
        <v>3.2447460379958661</v>
      </c>
    </row>
    <row r="2156" spans="1:3" x14ac:dyDescent="0.15">
      <c r="A2156" s="22">
        <v>44259</v>
      </c>
      <c r="B2156">
        <v>7806.45</v>
      </c>
      <c r="C2156">
        <f t="shared" si="33"/>
        <v>3.2017792105522198</v>
      </c>
    </row>
    <row r="2157" spans="1:3" x14ac:dyDescent="0.15">
      <c r="A2157" s="22">
        <v>44260</v>
      </c>
      <c r="B2157">
        <v>7958.98</v>
      </c>
      <c r="C2157">
        <f t="shared" si="33"/>
        <v>3.2643386816287694</v>
      </c>
    </row>
    <row r="2158" spans="1:3" x14ac:dyDescent="0.15">
      <c r="A2158" s="22">
        <v>44263</v>
      </c>
      <c r="B2158">
        <v>7916.41</v>
      </c>
      <c r="C2158">
        <f t="shared" si="33"/>
        <v>3.2468787938445387</v>
      </c>
    </row>
    <row r="2159" spans="1:3" x14ac:dyDescent="0.15">
      <c r="A2159" s="22">
        <v>44264</v>
      </c>
      <c r="B2159">
        <v>8029.2</v>
      </c>
      <c r="C2159">
        <f t="shared" si="33"/>
        <v>3.2931390884929619</v>
      </c>
    </row>
    <row r="2160" spans="1:3" x14ac:dyDescent="0.15">
      <c r="A2160" s="22">
        <v>44265</v>
      </c>
      <c r="B2160">
        <v>8078.05</v>
      </c>
      <c r="C2160">
        <f t="shared" si="33"/>
        <v>3.3131746891098208</v>
      </c>
    </row>
    <row r="2161" spans="1:3" x14ac:dyDescent="0.15">
      <c r="A2161" s="22">
        <v>44266</v>
      </c>
      <c r="B2161">
        <v>8162.58</v>
      </c>
      <c r="C2161">
        <f t="shared" si="33"/>
        <v>3.3478442760114184</v>
      </c>
    </row>
    <row r="2162" spans="1:3" x14ac:dyDescent="0.15">
      <c r="A2162" s="22">
        <v>44267</v>
      </c>
      <c r="B2162">
        <v>8172.9</v>
      </c>
      <c r="C2162">
        <f t="shared" si="33"/>
        <v>3.3520769760803231</v>
      </c>
    </row>
    <row r="2163" spans="1:3" x14ac:dyDescent="0.15">
      <c r="A2163" s="22">
        <v>44270</v>
      </c>
      <c r="B2163">
        <v>8226.32</v>
      </c>
      <c r="C2163">
        <f t="shared" si="33"/>
        <v>3.3739869409718803</v>
      </c>
    </row>
    <row r="2164" spans="1:3" x14ac:dyDescent="0.15">
      <c r="A2164" s="22">
        <v>44271</v>
      </c>
      <c r="B2164">
        <v>8213.6299999999992</v>
      </c>
      <c r="C2164">
        <f t="shared" si="33"/>
        <v>3.3687821964104079</v>
      </c>
    </row>
    <row r="2165" spans="1:3" x14ac:dyDescent="0.15">
      <c r="A2165" s="22">
        <v>44272</v>
      </c>
      <c r="B2165">
        <v>8237.35</v>
      </c>
      <c r="C2165">
        <f t="shared" si="33"/>
        <v>3.3785108442432001</v>
      </c>
    </row>
    <row r="2166" spans="1:3" x14ac:dyDescent="0.15">
      <c r="A2166" s="22">
        <v>44273</v>
      </c>
      <c r="B2166">
        <v>8116.17</v>
      </c>
      <c r="C2166">
        <f t="shared" si="33"/>
        <v>3.3288094300620141</v>
      </c>
    </row>
    <row r="2167" spans="1:3" x14ac:dyDescent="0.15">
      <c r="A2167" s="22">
        <v>44274</v>
      </c>
      <c r="B2167">
        <v>8112.13</v>
      </c>
      <c r="C2167">
        <f t="shared" si="33"/>
        <v>3.3271524428257377</v>
      </c>
    </row>
    <row r="2168" spans="1:3" x14ac:dyDescent="0.15">
      <c r="A2168" s="22">
        <v>44277</v>
      </c>
      <c r="B2168">
        <v>8169.14</v>
      </c>
      <c r="C2168">
        <f t="shared" si="33"/>
        <v>3.3505348295435904</v>
      </c>
    </row>
    <row r="2169" spans="1:3" x14ac:dyDescent="0.15">
      <c r="A2169" s="22">
        <v>44278</v>
      </c>
      <c r="B2169">
        <v>8106.83</v>
      </c>
      <c r="C2169">
        <f t="shared" si="33"/>
        <v>3.3249786724415133</v>
      </c>
    </row>
    <row r="2170" spans="1:3" x14ac:dyDescent="0.15">
      <c r="A2170" s="22">
        <v>44279</v>
      </c>
      <c r="B2170">
        <v>8063</v>
      </c>
      <c r="C2170">
        <f t="shared" si="33"/>
        <v>3.3070020015093351</v>
      </c>
    </row>
    <row r="2171" spans="1:3" x14ac:dyDescent="0.15">
      <c r="A2171" s="22">
        <v>44280</v>
      </c>
      <c r="B2171">
        <v>8105.51</v>
      </c>
      <c r="C2171">
        <f t="shared" si="33"/>
        <v>3.3244372805722353</v>
      </c>
    </row>
    <row r="2172" spans="1:3" x14ac:dyDescent="0.15">
      <c r="A2172" s="22">
        <v>44281</v>
      </c>
      <c r="B2172">
        <v>8240.3799999999992</v>
      </c>
      <c r="C2172">
        <f t="shared" si="33"/>
        <v>3.3797535846704072</v>
      </c>
    </row>
    <row r="2173" spans="1:3" x14ac:dyDescent="0.15">
      <c r="A2173" s="22">
        <v>44284</v>
      </c>
      <c r="B2173">
        <v>8233.24</v>
      </c>
      <c r="C2173">
        <f t="shared" si="33"/>
        <v>3.3768251468320374</v>
      </c>
    </row>
    <row r="2174" spans="1:3" x14ac:dyDescent="0.15">
      <c r="A2174" s="22">
        <v>44285</v>
      </c>
      <c r="B2174">
        <v>8208.1</v>
      </c>
      <c r="C2174">
        <f t="shared" si="33"/>
        <v>3.3665140925944157</v>
      </c>
    </row>
    <row r="2175" spans="1:3" x14ac:dyDescent="0.15">
      <c r="A2175" s="22">
        <v>44286</v>
      </c>
      <c r="B2175">
        <v>8238.48</v>
      </c>
      <c r="C2175">
        <f t="shared" si="33"/>
        <v>3.3789743084949304</v>
      </c>
    </row>
    <row r="2176" spans="1:3" x14ac:dyDescent="0.15">
      <c r="A2176" s="22">
        <v>44287</v>
      </c>
      <c r="B2176">
        <v>8335.91</v>
      </c>
      <c r="C2176">
        <f t="shared" si="33"/>
        <v>3.4189347704826591</v>
      </c>
    </row>
    <row r="2177" spans="1:3" x14ac:dyDescent="0.15">
      <c r="A2177" s="22">
        <v>44291</v>
      </c>
      <c r="B2177">
        <v>8457.4</v>
      </c>
      <c r="C2177">
        <f t="shared" si="33"/>
        <v>3.4687633297240543</v>
      </c>
    </row>
    <row r="2178" spans="1:3" x14ac:dyDescent="0.15">
      <c r="A2178" s="22">
        <v>44292</v>
      </c>
      <c r="B2178">
        <v>8449.5400000000009</v>
      </c>
      <c r="C2178">
        <f t="shared" ref="C2178:C2241" si="34">(B2178 / $B$2)</f>
        <v>3.4655395872297148</v>
      </c>
    </row>
    <row r="2179" spans="1:3" x14ac:dyDescent="0.15">
      <c r="A2179" s="22">
        <v>44293</v>
      </c>
      <c r="B2179">
        <v>8462.18</v>
      </c>
      <c r="C2179">
        <f t="shared" si="34"/>
        <v>3.4707238245234113</v>
      </c>
    </row>
    <row r="2180" spans="1:3" x14ac:dyDescent="0.15">
      <c r="A2180" s="22">
        <v>44294</v>
      </c>
      <c r="B2180">
        <v>8499.85</v>
      </c>
      <c r="C2180">
        <f t="shared" si="34"/>
        <v>3.4861740000656236</v>
      </c>
    </row>
    <row r="2181" spans="1:3" x14ac:dyDescent="0.15">
      <c r="A2181" s="22">
        <v>44295</v>
      </c>
      <c r="B2181">
        <v>8565.57</v>
      </c>
      <c r="C2181">
        <f t="shared" si="34"/>
        <v>3.5131287528300033</v>
      </c>
    </row>
    <row r="2182" spans="1:3" x14ac:dyDescent="0.15">
      <c r="A2182" s="22">
        <v>44298</v>
      </c>
      <c r="B2182">
        <v>8564.0300000000007</v>
      </c>
      <c r="C2182">
        <f t="shared" si="34"/>
        <v>3.512497128982512</v>
      </c>
    </row>
    <row r="2183" spans="1:3" x14ac:dyDescent="0.15">
      <c r="A2183" s="22">
        <v>44299</v>
      </c>
      <c r="B2183">
        <v>8592.25</v>
      </c>
      <c r="C2183">
        <f t="shared" si="34"/>
        <v>3.5240714309151167</v>
      </c>
    </row>
    <row r="2184" spans="1:3" x14ac:dyDescent="0.15">
      <c r="A2184" s="22">
        <v>44300</v>
      </c>
      <c r="B2184">
        <v>8558.16</v>
      </c>
      <c r="C2184">
        <f t="shared" si="34"/>
        <v>3.5100895757456443</v>
      </c>
    </row>
    <row r="2185" spans="1:3" x14ac:dyDescent="0.15">
      <c r="A2185" s="22">
        <v>44301</v>
      </c>
      <c r="B2185">
        <v>8653.2900000000009</v>
      </c>
      <c r="C2185">
        <f t="shared" si="34"/>
        <v>3.5491067034156911</v>
      </c>
    </row>
    <row r="2186" spans="1:3" x14ac:dyDescent="0.15">
      <c r="A2186" s="22">
        <v>44302</v>
      </c>
      <c r="B2186">
        <v>8684.51</v>
      </c>
      <c r="C2186">
        <f t="shared" si="34"/>
        <v>3.5619114414148378</v>
      </c>
    </row>
    <row r="2187" spans="1:3" x14ac:dyDescent="0.15">
      <c r="A2187" s="22">
        <v>44305</v>
      </c>
      <c r="B2187">
        <v>8638.42</v>
      </c>
      <c r="C2187">
        <f t="shared" si="34"/>
        <v>3.5430078419791977</v>
      </c>
    </row>
    <row r="2188" spans="1:3" x14ac:dyDescent="0.15">
      <c r="A2188" s="22">
        <v>44306</v>
      </c>
      <c r="B2188">
        <v>8579.9500000000007</v>
      </c>
      <c r="C2188">
        <f t="shared" si="34"/>
        <v>3.5190266430422947</v>
      </c>
    </row>
    <row r="2189" spans="1:3" x14ac:dyDescent="0.15">
      <c r="A2189" s="22">
        <v>44307</v>
      </c>
      <c r="B2189">
        <v>8659.7999999999993</v>
      </c>
      <c r="C2189">
        <f t="shared" si="34"/>
        <v>3.5517767496800867</v>
      </c>
    </row>
    <row r="2190" spans="1:3" x14ac:dyDescent="0.15">
      <c r="A2190" s="22">
        <v>44308</v>
      </c>
      <c r="B2190">
        <v>8580.73</v>
      </c>
      <c r="C2190">
        <f t="shared" si="34"/>
        <v>3.5193465564195949</v>
      </c>
    </row>
    <row r="2191" spans="1:3" x14ac:dyDescent="0.15">
      <c r="A2191" s="22">
        <v>44309</v>
      </c>
      <c r="B2191">
        <v>8674.7999999999993</v>
      </c>
      <c r="C2191">
        <f t="shared" si="34"/>
        <v>3.5579289300127965</v>
      </c>
    </row>
    <row r="2192" spans="1:3" x14ac:dyDescent="0.15">
      <c r="A2192" s="22">
        <v>44312</v>
      </c>
      <c r="B2192">
        <v>8690.26</v>
      </c>
      <c r="C2192">
        <f t="shared" si="34"/>
        <v>3.5642697772090433</v>
      </c>
    </row>
    <row r="2193" spans="1:3" x14ac:dyDescent="0.15">
      <c r="A2193" s="22">
        <v>44313</v>
      </c>
      <c r="B2193">
        <v>8688.4500000000007</v>
      </c>
      <c r="C2193">
        <f t="shared" si="34"/>
        <v>3.5635274141155633</v>
      </c>
    </row>
    <row r="2194" spans="1:3" x14ac:dyDescent="0.15">
      <c r="A2194" s="22">
        <v>44314</v>
      </c>
      <c r="B2194">
        <v>8681.17</v>
      </c>
      <c r="C2194">
        <f t="shared" si="34"/>
        <v>3.5605415559274207</v>
      </c>
    </row>
    <row r="2195" spans="1:3" x14ac:dyDescent="0.15">
      <c r="A2195" s="22">
        <v>44315</v>
      </c>
      <c r="B2195">
        <v>8740.35</v>
      </c>
      <c r="C2195">
        <f t="shared" si="34"/>
        <v>3.5848139580667393</v>
      </c>
    </row>
    <row r="2196" spans="1:3" x14ac:dyDescent="0.15">
      <c r="A2196" s="22">
        <v>44316</v>
      </c>
      <c r="B2196">
        <v>8678.16</v>
      </c>
      <c r="C2196">
        <f t="shared" si="34"/>
        <v>3.5593070184073237</v>
      </c>
    </row>
    <row r="2197" spans="1:3" x14ac:dyDescent="0.15">
      <c r="A2197" s="22">
        <v>44319</v>
      </c>
      <c r="B2197">
        <v>8702.02</v>
      </c>
      <c r="C2197">
        <f t="shared" si="34"/>
        <v>3.5690930865898878</v>
      </c>
    </row>
    <row r="2198" spans="1:3" x14ac:dyDescent="0.15">
      <c r="A2198" s="22">
        <v>44320</v>
      </c>
      <c r="B2198">
        <v>8643.91</v>
      </c>
      <c r="C2198">
        <f t="shared" si="34"/>
        <v>3.5452595399809694</v>
      </c>
    </row>
    <row r="2199" spans="1:3" x14ac:dyDescent="0.15">
      <c r="A2199" s="22">
        <v>44321</v>
      </c>
      <c r="B2199">
        <v>8650.0400000000009</v>
      </c>
      <c r="C2199">
        <f t="shared" si="34"/>
        <v>3.5477737310102708</v>
      </c>
    </row>
    <row r="2200" spans="1:3" x14ac:dyDescent="0.15">
      <c r="A2200" s="22">
        <v>44322</v>
      </c>
      <c r="B2200">
        <v>8722.0400000000009</v>
      </c>
      <c r="C2200">
        <f t="shared" si="34"/>
        <v>3.5773041966072783</v>
      </c>
    </row>
    <row r="2201" spans="1:3" x14ac:dyDescent="0.15">
      <c r="A2201" s="22">
        <v>44323</v>
      </c>
      <c r="B2201">
        <v>8787.82</v>
      </c>
      <c r="C2201">
        <f t="shared" si="34"/>
        <v>3.6042835580929884</v>
      </c>
    </row>
    <row r="2202" spans="1:3" x14ac:dyDescent="0.15">
      <c r="A2202" s="22">
        <v>44326</v>
      </c>
      <c r="B2202">
        <v>8696.2900000000009</v>
      </c>
      <c r="C2202">
        <f t="shared" si="34"/>
        <v>3.5667429537027928</v>
      </c>
    </row>
    <row r="2203" spans="1:3" x14ac:dyDescent="0.15">
      <c r="A2203" s="22">
        <v>44327</v>
      </c>
      <c r="B2203">
        <v>8620.98</v>
      </c>
      <c r="C2203">
        <f t="shared" si="34"/>
        <v>3.5358549069790333</v>
      </c>
    </row>
    <row r="2204" spans="1:3" x14ac:dyDescent="0.15">
      <c r="A2204" s="22">
        <v>44328</v>
      </c>
      <c r="B2204">
        <v>8437.24</v>
      </c>
      <c r="C2204">
        <f t="shared" si="34"/>
        <v>3.4604947993568924</v>
      </c>
    </row>
    <row r="2205" spans="1:3" x14ac:dyDescent="0.15">
      <c r="A2205" s="22">
        <v>44329</v>
      </c>
      <c r="B2205">
        <v>8541.39</v>
      </c>
      <c r="C2205">
        <f t="shared" si="34"/>
        <v>3.5032114381336745</v>
      </c>
    </row>
    <row r="2206" spans="1:3" x14ac:dyDescent="0.15">
      <c r="A2206" s="22">
        <v>44330</v>
      </c>
      <c r="B2206">
        <v>8669.49</v>
      </c>
      <c r="C2206">
        <f t="shared" si="34"/>
        <v>3.5557510581750171</v>
      </c>
    </row>
    <row r="2207" spans="1:3" x14ac:dyDescent="0.15">
      <c r="A2207" s="22">
        <v>44333</v>
      </c>
      <c r="B2207">
        <v>8647.57</v>
      </c>
      <c r="C2207">
        <f t="shared" si="34"/>
        <v>3.5467606719821507</v>
      </c>
    </row>
    <row r="2208" spans="1:3" x14ac:dyDescent="0.15">
      <c r="A2208" s="22">
        <v>44334</v>
      </c>
      <c r="B2208">
        <v>8574.98</v>
      </c>
      <c r="C2208">
        <f t="shared" si="34"/>
        <v>3.5169882206253895</v>
      </c>
    </row>
    <row r="2209" spans="1:3" x14ac:dyDescent="0.15">
      <c r="A2209" s="22">
        <v>44335</v>
      </c>
      <c r="B2209">
        <v>8550.9500000000007</v>
      </c>
      <c r="C2209">
        <f t="shared" si="34"/>
        <v>3.507132427732389</v>
      </c>
    </row>
    <row r="2210" spans="1:3" x14ac:dyDescent="0.15">
      <c r="A2210" s="22">
        <v>44336</v>
      </c>
      <c r="B2210">
        <v>8641.98</v>
      </c>
      <c r="C2210">
        <f t="shared" si="34"/>
        <v>3.5444679594448272</v>
      </c>
    </row>
    <row r="2211" spans="1:3" x14ac:dyDescent="0.15">
      <c r="A2211" s="22">
        <v>44337</v>
      </c>
      <c r="B2211">
        <v>8635.5499999999993</v>
      </c>
      <c r="C2211">
        <f t="shared" si="34"/>
        <v>3.5418307248088721</v>
      </c>
    </row>
    <row r="2212" spans="1:3" x14ac:dyDescent="0.15">
      <c r="A2212" s="22">
        <v>44340</v>
      </c>
      <c r="B2212">
        <v>8722</v>
      </c>
      <c r="C2212">
        <f t="shared" si="34"/>
        <v>3.5772877907930574</v>
      </c>
    </row>
    <row r="2213" spans="1:3" x14ac:dyDescent="0.15">
      <c r="A2213" s="22">
        <v>44341</v>
      </c>
      <c r="B2213">
        <v>8703.59</v>
      </c>
      <c r="C2213">
        <f t="shared" si="34"/>
        <v>3.5697370147980445</v>
      </c>
    </row>
    <row r="2214" spans="1:3" x14ac:dyDescent="0.15">
      <c r="A2214" s="22">
        <v>44342</v>
      </c>
      <c r="B2214">
        <v>8720.0400000000009</v>
      </c>
      <c r="C2214">
        <f t="shared" si="34"/>
        <v>3.5764839058962501</v>
      </c>
    </row>
    <row r="2215" spans="1:3" x14ac:dyDescent="0.15">
      <c r="A2215" s="22">
        <v>44343</v>
      </c>
      <c r="B2215">
        <v>8730.9699999999993</v>
      </c>
      <c r="C2215">
        <f t="shared" si="34"/>
        <v>3.5809667946320176</v>
      </c>
    </row>
    <row r="2216" spans="1:3" x14ac:dyDescent="0.15">
      <c r="A2216" s="22">
        <v>44344</v>
      </c>
      <c r="B2216">
        <v>8738.77</v>
      </c>
      <c r="C2216">
        <f t="shared" si="34"/>
        <v>3.5841659284050271</v>
      </c>
    </row>
    <row r="2217" spans="1:3" x14ac:dyDescent="0.15">
      <c r="A2217" s="22">
        <v>44348</v>
      </c>
      <c r="B2217">
        <v>8734.74</v>
      </c>
      <c r="C2217">
        <f t="shared" si="34"/>
        <v>3.5825130426223053</v>
      </c>
    </row>
    <row r="2218" spans="1:3" x14ac:dyDescent="0.15">
      <c r="A2218" s="22">
        <v>44349</v>
      </c>
      <c r="B2218">
        <v>8748.2999999999993</v>
      </c>
      <c r="C2218">
        <f t="shared" si="34"/>
        <v>3.5880746136430752</v>
      </c>
    </row>
    <row r="2219" spans="1:3" x14ac:dyDescent="0.15">
      <c r="A2219" s="22">
        <v>44350</v>
      </c>
      <c r="B2219">
        <v>8717.9699999999993</v>
      </c>
      <c r="C2219">
        <f t="shared" si="34"/>
        <v>3.5756349050103355</v>
      </c>
    </row>
    <row r="2220" spans="1:3" x14ac:dyDescent="0.15">
      <c r="A2220" s="22">
        <v>44351</v>
      </c>
      <c r="B2220">
        <v>8795.08</v>
      </c>
      <c r="C2220">
        <f t="shared" si="34"/>
        <v>3.6072612133740201</v>
      </c>
    </row>
    <row r="2221" spans="1:3" x14ac:dyDescent="0.15">
      <c r="A2221" s="22">
        <v>44354</v>
      </c>
      <c r="B2221">
        <v>8788.2800000000007</v>
      </c>
      <c r="C2221">
        <f t="shared" si="34"/>
        <v>3.6044722249565249</v>
      </c>
    </row>
    <row r="2222" spans="1:3" x14ac:dyDescent="0.15">
      <c r="A2222" s="22">
        <v>44355</v>
      </c>
      <c r="B2222">
        <v>8790</v>
      </c>
      <c r="C2222">
        <f t="shared" si="34"/>
        <v>3.6051776749680089</v>
      </c>
    </row>
    <row r="2223" spans="1:3" x14ac:dyDescent="0.15">
      <c r="A2223" s="22">
        <v>44356</v>
      </c>
      <c r="B2223">
        <v>8774.31</v>
      </c>
      <c r="C2223">
        <f t="shared" si="34"/>
        <v>3.5987424943399939</v>
      </c>
    </row>
    <row r="2224" spans="1:3" x14ac:dyDescent="0.15">
      <c r="A2224" s="22">
        <v>44357</v>
      </c>
      <c r="B2224">
        <v>8815.56</v>
      </c>
      <c r="C2224">
        <f t="shared" si="34"/>
        <v>3.6156609902549461</v>
      </c>
    </row>
    <row r="2225" spans="1:3" x14ac:dyDescent="0.15">
      <c r="A2225" s="22">
        <v>44358</v>
      </c>
      <c r="B2225">
        <v>8832.94</v>
      </c>
      <c r="C2225">
        <f t="shared" si="34"/>
        <v>3.6227893165337801</v>
      </c>
    </row>
    <row r="2226" spans="1:3" x14ac:dyDescent="0.15">
      <c r="A2226" s="22">
        <v>44361</v>
      </c>
      <c r="B2226">
        <v>8851.17</v>
      </c>
      <c r="C2226">
        <f t="shared" si="34"/>
        <v>3.6302662663647998</v>
      </c>
    </row>
    <row r="2227" spans="1:3" x14ac:dyDescent="0.15">
      <c r="A2227" s="22">
        <v>44362</v>
      </c>
      <c r="B2227">
        <v>8833.68</v>
      </c>
      <c r="C2227">
        <f t="shared" si="34"/>
        <v>3.6230928240968603</v>
      </c>
    </row>
    <row r="2228" spans="1:3" x14ac:dyDescent="0.15">
      <c r="A2228" s="22">
        <v>44363</v>
      </c>
      <c r="B2228">
        <v>8786.18</v>
      </c>
      <c r="C2228">
        <f t="shared" si="34"/>
        <v>3.6036109197099457</v>
      </c>
    </row>
    <row r="2229" spans="1:3" x14ac:dyDescent="0.15">
      <c r="A2229" s="22">
        <v>44364</v>
      </c>
      <c r="B2229">
        <v>8782.58</v>
      </c>
      <c r="C2229">
        <f t="shared" si="34"/>
        <v>3.6021343964300949</v>
      </c>
    </row>
    <row r="2230" spans="1:3" x14ac:dyDescent="0.15">
      <c r="A2230" s="22">
        <v>44365</v>
      </c>
      <c r="B2230">
        <v>8667.76</v>
      </c>
      <c r="C2230">
        <f t="shared" si="34"/>
        <v>3.5550415067099785</v>
      </c>
    </row>
    <row r="2231" spans="1:3" x14ac:dyDescent="0.15">
      <c r="A2231" s="22">
        <v>44368</v>
      </c>
      <c r="B2231">
        <v>8789.52</v>
      </c>
      <c r="C2231">
        <f t="shared" si="34"/>
        <v>3.6049808051973624</v>
      </c>
    </row>
    <row r="2232" spans="1:3" x14ac:dyDescent="0.15">
      <c r="A2232" s="22">
        <v>44369</v>
      </c>
      <c r="B2232">
        <v>8834.56</v>
      </c>
      <c r="C2232">
        <f t="shared" si="34"/>
        <v>3.6234537520097123</v>
      </c>
    </row>
    <row r="2233" spans="1:3" x14ac:dyDescent="0.15">
      <c r="A2233" s="22">
        <v>44370</v>
      </c>
      <c r="B2233">
        <v>8825.01</v>
      </c>
      <c r="C2233">
        <f t="shared" si="34"/>
        <v>3.6195368638645538</v>
      </c>
    </row>
    <row r="2234" spans="1:3" x14ac:dyDescent="0.15">
      <c r="A2234" s="22">
        <v>44371</v>
      </c>
      <c r="B2234">
        <v>8877.06</v>
      </c>
      <c r="C2234">
        <f t="shared" si="34"/>
        <v>3.6408849296190571</v>
      </c>
    </row>
    <row r="2235" spans="1:3" x14ac:dyDescent="0.15">
      <c r="A2235" s="22">
        <v>44372</v>
      </c>
      <c r="B2235">
        <v>8906.7900000000009</v>
      </c>
      <c r="C2235">
        <f t="shared" si="34"/>
        <v>3.6530785510384884</v>
      </c>
    </row>
    <row r="2236" spans="1:3" x14ac:dyDescent="0.15">
      <c r="A2236" s="22">
        <v>44375</v>
      </c>
      <c r="B2236">
        <v>8927.4</v>
      </c>
      <c r="C2236">
        <f t="shared" si="34"/>
        <v>3.6615316468156314</v>
      </c>
    </row>
    <row r="2237" spans="1:3" x14ac:dyDescent="0.15">
      <c r="A2237" s="22">
        <v>44376</v>
      </c>
      <c r="B2237">
        <v>8930.67</v>
      </c>
      <c r="C2237">
        <f t="shared" si="34"/>
        <v>3.6628728221281626</v>
      </c>
    </row>
    <row r="2238" spans="1:3" x14ac:dyDescent="0.15">
      <c r="A2238" s="22">
        <v>44377</v>
      </c>
      <c r="B2238">
        <v>8942.7800000000007</v>
      </c>
      <c r="C2238">
        <f t="shared" si="34"/>
        <v>3.6678396823834372</v>
      </c>
    </row>
    <row r="2239" spans="1:3" x14ac:dyDescent="0.15">
      <c r="A2239" s="22">
        <v>44378</v>
      </c>
      <c r="B2239">
        <v>8990.08</v>
      </c>
      <c r="C2239">
        <f t="shared" si="34"/>
        <v>3.6872395576992489</v>
      </c>
    </row>
    <row r="2240" spans="1:3" x14ac:dyDescent="0.15">
      <c r="A2240" s="22">
        <v>44379</v>
      </c>
      <c r="B2240">
        <v>9058.66</v>
      </c>
      <c r="C2240">
        <f t="shared" si="34"/>
        <v>3.7153673261803983</v>
      </c>
    </row>
    <row r="2241" spans="1:3" x14ac:dyDescent="0.15">
      <c r="A2241" s="22">
        <v>44383</v>
      </c>
      <c r="B2241">
        <v>9040.76</v>
      </c>
      <c r="C2241">
        <f t="shared" si="34"/>
        <v>3.7080257243166983</v>
      </c>
    </row>
    <row r="2242" spans="1:3" x14ac:dyDescent="0.15">
      <c r="A2242" s="22">
        <v>44384</v>
      </c>
      <c r="B2242">
        <v>9071.14</v>
      </c>
      <c r="C2242">
        <f t="shared" ref="C2242:C2305" si="35">(B2242 / $B$2)</f>
        <v>3.720485940217213</v>
      </c>
    </row>
    <row r="2243" spans="1:3" x14ac:dyDescent="0.15">
      <c r="A2243" s="22">
        <v>44385</v>
      </c>
      <c r="B2243">
        <v>8995.26</v>
      </c>
      <c r="C2243">
        <f t="shared" si="35"/>
        <v>3.6893641106408115</v>
      </c>
    </row>
    <row r="2244" spans="1:3" x14ac:dyDescent="0.15">
      <c r="A2244" s="22">
        <v>44386</v>
      </c>
      <c r="B2244">
        <v>9096.84</v>
      </c>
      <c r="C2244">
        <f t="shared" si="35"/>
        <v>3.731026675853923</v>
      </c>
    </row>
    <row r="2245" spans="1:3" x14ac:dyDescent="0.15">
      <c r="A2245" s="22">
        <v>44389</v>
      </c>
      <c r="B2245">
        <v>9128.2199999999993</v>
      </c>
      <c r="C2245">
        <f t="shared" si="35"/>
        <v>3.7438970371099516</v>
      </c>
    </row>
    <row r="2246" spans="1:3" x14ac:dyDescent="0.15">
      <c r="A2246" s="22">
        <v>44390</v>
      </c>
      <c r="B2246">
        <v>9096.15</v>
      </c>
      <c r="C2246">
        <f t="shared" si="35"/>
        <v>3.7307436755586179</v>
      </c>
    </row>
    <row r="2247" spans="1:3" x14ac:dyDescent="0.15">
      <c r="A2247" s="22">
        <v>44391</v>
      </c>
      <c r="B2247">
        <v>9107.85</v>
      </c>
      <c r="C2247">
        <f t="shared" si="35"/>
        <v>3.7355423762181319</v>
      </c>
    </row>
    <row r="2248" spans="1:3" x14ac:dyDescent="0.15">
      <c r="A2248" s="22">
        <v>44392</v>
      </c>
      <c r="B2248">
        <v>9078.33</v>
      </c>
      <c r="C2248">
        <f t="shared" si="35"/>
        <v>3.7234348853233588</v>
      </c>
    </row>
    <row r="2249" spans="1:3" x14ac:dyDescent="0.15">
      <c r="A2249" s="22">
        <v>44393</v>
      </c>
      <c r="B2249">
        <v>9009.89</v>
      </c>
      <c r="C2249">
        <f t="shared" si="35"/>
        <v>3.6953645371919808</v>
      </c>
    </row>
    <row r="2250" spans="1:3" x14ac:dyDescent="0.15">
      <c r="A2250" s="22">
        <v>44396</v>
      </c>
      <c r="B2250">
        <v>8867.07</v>
      </c>
      <c r="C2250">
        <f t="shared" si="35"/>
        <v>3.6367875775174725</v>
      </c>
    </row>
    <row r="2251" spans="1:3" x14ac:dyDescent="0.15">
      <c r="A2251" s="22">
        <v>44397</v>
      </c>
      <c r="B2251">
        <v>9001.77</v>
      </c>
      <c r="C2251">
        <f t="shared" si="35"/>
        <v>3.6920341569052075</v>
      </c>
    </row>
    <row r="2252" spans="1:3" x14ac:dyDescent="0.15">
      <c r="A2252" s="22">
        <v>44398</v>
      </c>
      <c r="B2252">
        <v>9075.9699999999993</v>
      </c>
      <c r="C2252">
        <f t="shared" si="35"/>
        <v>3.7224669422843455</v>
      </c>
    </row>
    <row r="2253" spans="1:3" x14ac:dyDescent="0.15">
      <c r="A2253" s="22">
        <v>44399</v>
      </c>
      <c r="B2253">
        <v>9094.9500000000007</v>
      </c>
      <c r="C2253">
        <f t="shared" si="35"/>
        <v>3.7302515011320017</v>
      </c>
    </row>
    <row r="2254" spans="1:3" x14ac:dyDescent="0.15">
      <c r="A2254" s="22">
        <v>44400</v>
      </c>
      <c r="B2254">
        <v>9187.64</v>
      </c>
      <c r="C2254">
        <f t="shared" si="35"/>
        <v>3.7682678741345934</v>
      </c>
    </row>
    <row r="2255" spans="1:3" x14ac:dyDescent="0.15">
      <c r="A2255" s="22">
        <v>44403</v>
      </c>
      <c r="B2255">
        <v>9209.6299999999992</v>
      </c>
      <c r="C2255">
        <f t="shared" si="35"/>
        <v>3.7772869705023457</v>
      </c>
    </row>
    <row r="2256" spans="1:3" x14ac:dyDescent="0.15">
      <c r="A2256" s="22">
        <v>44404</v>
      </c>
      <c r="B2256">
        <v>9166.27</v>
      </c>
      <c r="C2256">
        <f t="shared" si="35"/>
        <v>3.7595030678872599</v>
      </c>
    </row>
    <row r="2257" spans="1:3" x14ac:dyDescent="0.15">
      <c r="A2257" s="22">
        <v>44405</v>
      </c>
      <c r="B2257">
        <v>9164.6200000000008</v>
      </c>
      <c r="C2257">
        <f t="shared" si="35"/>
        <v>3.7588263280506617</v>
      </c>
    </row>
    <row r="2258" spans="1:3" x14ac:dyDescent="0.15">
      <c r="A2258" s="22">
        <v>44406</v>
      </c>
      <c r="B2258">
        <v>9204.25</v>
      </c>
      <c r="C2258">
        <f t="shared" si="35"/>
        <v>3.7750803884896809</v>
      </c>
    </row>
    <row r="2259" spans="1:3" x14ac:dyDescent="0.15">
      <c r="A2259" s="22">
        <v>44407</v>
      </c>
      <c r="B2259">
        <v>9155.2099999999991</v>
      </c>
      <c r="C2259">
        <f t="shared" si="35"/>
        <v>3.7549668602552742</v>
      </c>
    </row>
    <row r="2260" spans="1:3" x14ac:dyDescent="0.15">
      <c r="A2260" s="22">
        <v>44410</v>
      </c>
      <c r="B2260">
        <v>9138.36</v>
      </c>
      <c r="C2260">
        <f t="shared" si="35"/>
        <v>3.7480559110148643</v>
      </c>
    </row>
    <row r="2261" spans="1:3" x14ac:dyDescent="0.15">
      <c r="A2261" s="22">
        <v>44411</v>
      </c>
      <c r="B2261">
        <v>9213.35</v>
      </c>
      <c r="C2261">
        <f t="shared" si="35"/>
        <v>3.7788127112248584</v>
      </c>
    </row>
    <row r="2262" spans="1:3" x14ac:dyDescent="0.15">
      <c r="A2262" s="22">
        <v>44412</v>
      </c>
      <c r="B2262">
        <v>9170.76</v>
      </c>
      <c r="C2262">
        <f t="shared" si="35"/>
        <v>3.7613446205335173</v>
      </c>
    </row>
    <row r="2263" spans="1:3" x14ac:dyDescent="0.15">
      <c r="A2263" s="22">
        <v>44413</v>
      </c>
      <c r="B2263">
        <v>9226.49</v>
      </c>
      <c r="C2263">
        <f t="shared" si="35"/>
        <v>3.7842020211963123</v>
      </c>
    </row>
    <row r="2264" spans="1:3" x14ac:dyDescent="0.15">
      <c r="A2264" s="22">
        <v>44414</v>
      </c>
      <c r="B2264">
        <v>9243.0300000000007</v>
      </c>
      <c r="C2264">
        <f t="shared" si="35"/>
        <v>3.7909858253765139</v>
      </c>
    </row>
    <row r="2265" spans="1:3" x14ac:dyDescent="0.15">
      <c r="A2265" s="22">
        <v>44417</v>
      </c>
      <c r="B2265">
        <v>9235.0499999999993</v>
      </c>
      <c r="C2265">
        <f t="shared" si="35"/>
        <v>3.7877128654395116</v>
      </c>
    </row>
    <row r="2266" spans="1:3" x14ac:dyDescent="0.15">
      <c r="A2266" s="22">
        <v>44418</v>
      </c>
      <c r="B2266">
        <v>9244.2199999999993</v>
      </c>
      <c r="C2266">
        <f t="shared" si="35"/>
        <v>3.791473898349575</v>
      </c>
    </row>
    <row r="2267" spans="1:3" x14ac:dyDescent="0.15">
      <c r="A2267" s="22">
        <v>44419</v>
      </c>
      <c r="B2267">
        <v>9267.4</v>
      </c>
      <c r="C2267">
        <f t="shared" si="35"/>
        <v>3.8009810676903895</v>
      </c>
    </row>
    <row r="2268" spans="1:3" x14ac:dyDescent="0.15">
      <c r="A2268" s="22">
        <v>44420</v>
      </c>
      <c r="B2268">
        <v>9297.2000000000007</v>
      </c>
      <c r="C2268">
        <f t="shared" si="35"/>
        <v>3.8132033992847072</v>
      </c>
    </row>
    <row r="2269" spans="1:3" x14ac:dyDescent="0.15">
      <c r="A2269" s="22">
        <v>44421</v>
      </c>
      <c r="B2269">
        <v>9312.51</v>
      </c>
      <c r="C2269">
        <f t="shared" si="35"/>
        <v>3.8194827246776262</v>
      </c>
    </row>
    <row r="2270" spans="1:3" x14ac:dyDescent="0.15">
      <c r="A2270" s="22">
        <v>44424</v>
      </c>
      <c r="B2270">
        <v>9337.18</v>
      </c>
      <c r="C2270">
        <f t="shared" si="35"/>
        <v>3.8296010105981564</v>
      </c>
    </row>
    <row r="2271" spans="1:3" x14ac:dyDescent="0.15">
      <c r="A2271" s="22">
        <v>44425</v>
      </c>
      <c r="B2271">
        <v>9271.83</v>
      </c>
      <c r="C2271">
        <f t="shared" si="35"/>
        <v>3.8027980116153168</v>
      </c>
    </row>
    <row r="2272" spans="1:3" x14ac:dyDescent="0.15">
      <c r="A2272" s="22">
        <v>44426</v>
      </c>
      <c r="B2272">
        <v>9173.93</v>
      </c>
      <c r="C2272">
        <f t="shared" si="35"/>
        <v>3.7626447813104966</v>
      </c>
    </row>
    <row r="2273" spans="1:3" x14ac:dyDescent="0.15">
      <c r="A2273" s="22">
        <v>44427</v>
      </c>
      <c r="B2273">
        <v>9186.07</v>
      </c>
      <c r="C2273">
        <f t="shared" si="35"/>
        <v>3.7676239459264362</v>
      </c>
    </row>
    <row r="2274" spans="1:3" x14ac:dyDescent="0.15">
      <c r="A2274" s="22">
        <v>44428</v>
      </c>
      <c r="B2274">
        <v>9261.31</v>
      </c>
      <c r="C2274">
        <f t="shared" si="35"/>
        <v>3.7984832824753094</v>
      </c>
    </row>
    <row r="2275" spans="1:3" x14ac:dyDescent="0.15">
      <c r="A2275" s="22">
        <v>44431</v>
      </c>
      <c r="B2275">
        <v>9341.09</v>
      </c>
      <c r="C2275">
        <f t="shared" si="35"/>
        <v>3.8312046789382159</v>
      </c>
    </row>
    <row r="2276" spans="1:3" x14ac:dyDescent="0.15">
      <c r="A2276" s="22">
        <v>44432</v>
      </c>
      <c r="B2276">
        <v>9355.11</v>
      </c>
      <c r="C2276">
        <f t="shared" si="35"/>
        <v>3.8369549168225223</v>
      </c>
    </row>
    <row r="2277" spans="1:3" x14ac:dyDescent="0.15">
      <c r="A2277" s="22">
        <v>44433</v>
      </c>
      <c r="B2277">
        <v>9376</v>
      </c>
      <c r="C2277">
        <f t="shared" si="35"/>
        <v>3.8455228532992094</v>
      </c>
    </row>
    <row r="2278" spans="1:3" x14ac:dyDescent="0.15">
      <c r="A2278" s="22">
        <v>44434</v>
      </c>
      <c r="B2278">
        <v>9321.74</v>
      </c>
      <c r="C2278">
        <f t="shared" si="35"/>
        <v>3.8232683663090201</v>
      </c>
    </row>
    <row r="2279" spans="1:3" x14ac:dyDescent="0.15">
      <c r="A2279" s="22">
        <v>44435</v>
      </c>
      <c r="B2279">
        <v>9404.15</v>
      </c>
      <c r="C2279">
        <f t="shared" si="35"/>
        <v>3.8570684450569281</v>
      </c>
    </row>
    <row r="2280" spans="1:3" x14ac:dyDescent="0.15">
      <c r="A2280" s="22">
        <v>44438</v>
      </c>
      <c r="B2280">
        <v>9445.24</v>
      </c>
      <c r="C2280">
        <f t="shared" si="35"/>
        <v>3.8739213177149985</v>
      </c>
    </row>
    <row r="2281" spans="1:3" x14ac:dyDescent="0.15">
      <c r="A2281" s="22">
        <v>44439</v>
      </c>
      <c r="B2281">
        <v>9433.58</v>
      </c>
      <c r="C2281">
        <f t="shared" si="35"/>
        <v>3.8691390228697053</v>
      </c>
    </row>
    <row r="2282" spans="1:3" x14ac:dyDescent="0.15">
      <c r="A2282" s="22">
        <v>44440</v>
      </c>
      <c r="B2282">
        <v>9437.15</v>
      </c>
      <c r="C2282">
        <f t="shared" si="35"/>
        <v>3.8706032417888903</v>
      </c>
    </row>
    <row r="2283" spans="1:3" x14ac:dyDescent="0.15">
      <c r="A2283" s="22">
        <v>44441</v>
      </c>
      <c r="B2283">
        <v>9465.4699999999993</v>
      </c>
      <c r="C2283">
        <f t="shared" si="35"/>
        <v>3.8822185582570463</v>
      </c>
    </row>
    <row r="2284" spans="1:3" x14ac:dyDescent="0.15">
      <c r="A2284" s="22">
        <v>44442</v>
      </c>
      <c r="B2284">
        <v>9462.5400000000009</v>
      </c>
      <c r="C2284">
        <f t="shared" si="35"/>
        <v>3.8810168323653911</v>
      </c>
    </row>
    <row r="2285" spans="1:3" x14ac:dyDescent="0.15">
      <c r="A2285" s="22">
        <v>44446</v>
      </c>
      <c r="B2285">
        <v>9430.68</v>
      </c>
      <c r="C2285">
        <f t="shared" si="35"/>
        <v>3.8679496013387147</v>
      </c>
    </row>
    <row r="2286" spans="1:3" x14ac:dyDescent="0.15">
      <c r="A2286" s="22">
        <v>44447</v>
      </c>
      <c r="B2286">
        <v>9418.57</v>
      </c>
      <c r="C2286">
        <f t="shared" si="35"/>
        <v>3.8629827410834401</v>
      </c>
    </row>
    <row r="2287" spans="1:3" x14ac:dyDescent="0.15">
      <c r="A2287" s="22">
        <v>44448</v>
      </c>
      <c r="B2287">
        <v>9375.99</v>
      </c>
      <c r="C2287">
        <f t="shared" si="35"/>
        <v>3.8455187518456544</v>
      </c>
    </row>
    <row r="2288" spans="1:3" x14ac:dyDescent="0.15">
      <c r="A2288" s="22">
        <v>44449</v>
      </c>
      <c r="B2288">
        <v>9304.0300000000007</v>
      </c>
      <c r="C2288">
        <f t="shared" si="35"/>
        <v>3.8160046920628674</v>
      </c>
    </row>
    <row r="2289" spans="1:3" x14ac:dyDescent="0.15">
      <c r="A2289" s="22">
        <v>44452</v>
      </c>
      <c r="B2289">
        <v>9325.2900000000009</v>
      </c>
      <c r="C2289">
        <f t="shared" si="35"/>
        <v>3.824724382321095</v>
      </c>
    </row>
    <row r="2290" spans="1:3" x14ac:dyDescent="0.15">
      <c r="A2290" s="22">
        <v>44453</v>
      </c>
      <c r="B2290">
        <v>9273.99</v>
      </c>
      <c r="C2290">
        <f t="shared" si="35"/>
        <v>3.8036839255832269</v>
      </c>
    </row>
    <row r="2291" spans="1:3" x14ac:dyDescent="0.15">
      <c r="A2291" s="22">
        <v>44454</v>
      </c>
      <c r="B2291">
        <v>9352.83</v>
      </c>
      <c r="C2291">
        <f t="shared" si="35"/>
        <v>3.83601978541195</v>
      </c>
    </row>
    <row r="2292" spans="1:3" x14ac:dyDescent="0.15">
      <c r="A2292" s="22">
        <v>44455</v>
      </c>
      <c r="B2292">
        <v>9338.61</v>
      </c>
      <c r="C2292">
        <f t="shared" si="35"/>
        <v>3.8301875184565413</v>
      </c>
    </row>
    <row r="2293" spans="1:3" x14ac:dyDescent="0.15">
      <c r="A2293" s="22">
        <v>44456</v>
      </c>
      <c r="B2293">
        <v>9253.57</v>
      </c>
      <c r="C2293">
        <f t="shared" si="35"/>
        <v>3.7953087574236308</v>
      </c>
    </row>
    <row r="2294" spans="1:3" x14ac:dyDescent="0.15">
      <c r="A2294" s="22">
        <v>44459</v>
      </c>
      <c r="B2294">
        <v>9096.52</v>
      </c>
      <c r="C2294">
        <f t="shared" si="35"/>
        <v>3.7308954293401584</v>
      </c>
    </row>
    <row r="2295" spans="1:3" x14ac:dyDescent="0.15">
      <c r="A2295" s="22">
        <v>44460</v>
      </c>
      <c r="B2295">
        <v>9089.5499999999993</v>
      </c>
      <c r="C2295">
        <f t="shared" si="35"/>
        <v>3.7280367162122254</v>
      </c>
    </row>
    <row r="2296" spans="1:3" x14ac:dyDescent="0.15">
      <c r="A2296" s="22">
        <v>44461</v>
      </c>
      <c r="B2296">
        <v>9176.08</v>
      </c>
      <c r="C2296">
        <f t="shared" si="35"/>
        <v>3.7635265938248517</v>
      </c>
    </row>
    <row r="2297" spans="1:3" x14ac:dyDescent="0.15">
      <c r="A2297" s="22">
        <v>44462</v>
      </c>
      <c r="B2297">
        <v>9287.7999999999993</v>
      </c>
      <c r="C2297">
        <f t="shared" si="35"/>
        <v>3.8093480329428751</v>
      </c>
    </row>
    <row r="2298" spans="1:3" x14ac:dyDescent="0.15">
      <c r="A2298" s="22">
        <v>44463</v>
      </c>
      <c r="B2298">
        <v>9301.49</v>
      </c>
      <c r="C2298">
        <f t="shared" si="35"/>
        <v>3.8149629228598618</v>
      </c>
    </row>
    <row r="2299" spans="1:3" x14ac:dyDescent="0.15">
      <c r="A2299" s="22">
        <v>44466</v>
      </c>
      <c r="B2299">
        <v>9275.8700000000008</v>
      </c>
      <c r="C2299">
        <f t="shared" si="35"/>
        <v>3.8044549988515937</v>
      </c>
    </row>
    <row r="2300" spans="1:3" x14ac:dyDescent="0.15">
      <c r="A2300" s="22">
        <v>44467</v>
      </c>
      <c r="B2300">
        <v>9087.4699999999993</v>
      </c>
      <c r="C2300">
        <f t="shared" si="35"/>
        <v>3.7271836138727563</v>
      </c>
    </row>
    <row r="2301" spans="1:3" x14ac:dyDescent="0.15">
      <c r="A2301" s="22">
        <v>44468</v>
      </c>
      <c r="B2301">
        <v>9102.6200000000008</v>
      </c>
      <c r="C2301">
        <f t="shared" si="35"/>
        <v>3.7333973160087939</v>
      </c>
    </row>
    <row r="2302" spans="1:3" x14ac:dyDescent="0.15">
      <c r="A2302" s="22">
        <v>44469</v>
      </c>
      <c r="B2302">
        <v>8994.83</v>
      </c>
      <c r="C2302">
        <f t="shared" si="35"/>
        <v>3.6891877481379405</v>
      </c>
    </row>
    <row r="2303" spans="1:3" x14ac:dyDescent="0.15">
      <c r="A2303" s="22">
        <v>44470</v>
      </c>
      <c r="B2303">
        <v>9098.25</v>
      </c>
      <c r="C2303">
        <f t="shared" si="35"/>
        <v>3.7316049808051974</v>
      </c>
    </row>
    <row r="2304" spans="1:3" x14ac:dyDescent="0.15">
      <c r="A2304" s="22">
        <v>44473</v>
      </c>
      <c r="B2304">
        <v>8980.64</v>
      </c>
      <c r="C2304">
        <f t="shared" si="35"/>
        <v>3.6833677855431963</v>
      </c>
    </row>
    <row r="2305" spans="1:3" x14ac:dyDescent="0.15">
      <c r="A2305" s="22">
        <v>44474</v>
      </c>
      <c r="B2305">
        <v>9076.19</v>
      </c>
      <c r="C2305">
        <f t="shared" si="35"/>
        <v>3.7225571742625592</v>
      </c>
    </row>
    <row r="2306" spans="1:3" x14ac:dyDescent="0.15">
      <c r="A2306" s="22">
        <v>44475</v>
      </c>
      <c r="B2306">
        <v>9113.4500000000007</v>
      </c>
      <c r="C2306">
        <f t="shared" ref="C2306:C2369" si="36">(B2306 / $B$2)</f>
        <v>3.7378391902090105</v>
      </c>
    </row>
    <row r="2307" spans="1:3" x14ac:dyDescent="0.15">
      <c r="A2307" s="22">
        <v>44476</v>
      </c>
      <c r="B2307">
        <v>9191.19</v>
      </c>
      <c r="C2307">
        <f t="shared" si="36"/>
        <v>3.7697238901466683</v>
      </c>
    </row>
    <row r="2308" spans="1:3" x14ac:dyDescent="0.15">
      <c r="A2308" s="22">
        <v>44477</v>
      </c>
      <c r="B2308">
        <v>9173.74</v>
      </c>
      <c r="C2308">
        <f t="shared" si="36"/>
        <v>3.7625668536929489</v>
      </c>
    </row>
    <row r="2309" spans="1:3" x14ac:dyDescent="0.15">
      <c r="A2309" s="22">
        <v>44480</v>
      </c>
      <c r="B2309">
        <v>9110.76</v>
      </c>
      <c r="C2309">
        <f t="shared" si="36"/>
        <v>3.7367358992026776</v>
      </c>
    </row>
    <row r="2310" spans="1:3" x14ac:dyDescent="0.15">
      <c r="A2310" s="22">
        <v>44481</v>
      </c>
      <c r="B2310">
        <v>9088.73</v>
      </c>
      <c r="C2310">
        <f t="shared" si="36"/>
        <v>3.7277003970207043</v>
      </c>
    </row>
    <row r="2311" spans="1:3" x14ac:dyDescent="0.15">
      <c r="A2311" s="22">
        <v>44482</v>
      </c>
      <c r="B2311">
        <v>9116.39</v>
      </c>
      <c r="C2311">
        <f t="shared" si="36"/>
        <v>3.7390450175542211</v>
      </c>
    </row>
    <row r="2312" spans="1:3" x14ac:dyDescent="0.15">
      <c r="A2312" s="22">
        <v>44483</v>
      </c>
      <c r="B2312">
        <v>9272.9699999999993</v>
      </c>
      <c r="C2312">
        <f t="shared" si="36"/>
        <v>3.8032655773206026</v>
      </c>
    </row>
    <row r="2313" spans="1:3" x14ac:dyDescent="0.15">
      <c r="A2313" s="22">
        <v>44484</v>
      </c>
      <c r="B2313">
        <v>9342.15</v>
      </c>
      <c r="C2313">
        <f t="shared" si="36"/>
        <v>3.8316394330150607</v>
      </c>
    </row>
    <row r="2314" spans="1:3" x14ac:dyDescent="0.15">
      <c r="A2314" s="22">
        <v>44487</v>
      </c>
      <c r="B2314">
        <v>9373.68</v>
      </c>
      <c r="C2314">
        <f t="shared" si="36"/>
        <v>3.844571316074417</v>
      </c>
    </row>
    <row r="2315" spans="1:3" x14ac:dyDescent="0.15">
      <c r="A2315" s="22">
        <v>44488</v>
      </c>
      <c r="B2315">
        <v>9443.1200000000008</v>
      </c>
      <c r="C2315">
        <f t="shared" si="36"/>
        <v>3.8730518095613089</v>
      </c>
    </row>
    <row r="2316" spans="1:3" x14ac:dyDescent="0.15">
      <c r="A2316" s="22">
        <v>44489</v>
      </c>
      <c r="B2316">
        <v>9477.82</v>
      </c>
      <c r="C2316">
        <f t="shared" si="36"/>
        <v>3.8872838533976442</v>
      </c>
    </row>
    <row r="2317" spans="1:3" x14ac:dyDescent="0.15">
      <c r="A2317" s="22">
        <v>44490</v>
      </c>
      <c r="B2317">
        <v>9506.91</v>
      </c>
      <c r="C2317">
        <f t="shared" si="36"/>
        <v>3.8992149817895463</v>
      </c>
    </row>
    <row r="2318" spans="1:3" x14ac:dyDescent="0.15">
      <c r="A2318" s="22">
        <v>44491</v>
      </c>
      <c r="B2318">
        <v>9496.86</v>
      </c>
      <c r="C2318">
        <f t="shared" si="36"/>
        <v>3.8950930209666312</v>
      </c>
    </row>
    <row r="2319" spans="1:3" x14ac:dyDescent="0.15">
      <c r="A2319" s="22">
        <v>44494</v>
      </c>
      <c r="B2319">
        <v>9541.99</v>
      </c>
      <c r="C2319">
        <f t="shared" si="36"/>
        <v>3.9136028808609771</v>
      </c>
    </row>
    <row r="2320" spans="1:3" x14ac:dyDescent="0.15">
      <c r="A2320" s="22">
        <v>44495</v>
      </c>
      <c r="B2320">
        <v>9559.39</v>
      </c>
      <c r="C2320">
        <f t="shared" si="36"/>
        <v>3.9207394100469206</v>
      </c>
    </row>
    <row r="2321" spans="1:3" x14ac:dyDescent="0.15">
      <c r="A2321" s="22">
        <v>44496</v>
      </c>
      <c r="B2321">
        <v>9511.27</v>
      </c>
      <c r="C2321">
        <f t="shared" si="36"/>
        <v>3.9010032155395877</v>
      </c>
    </row>
    <row r="2322" spans="1:3" x14ac:dyDescent="0.15">
      <c r="A2322" s="22">
        <v>44497</v>
      </c>
      <c r="B2322">
        <v>9605.23</v>
      </c>
      <c r="C2322">
        <f t="shared" si="36"/>
        <v>3.9395404731436821</v>
      </c>
    </row>
    <row r="2323" spans="1:3" x14ac:dyDescent="0.15">
      <c r="A2323" s="22">
        <v>44498</v>
      </c>
      <c r="B2323">
        <v>9625.02</v>
      </c>
      <c r="C2323">
        <f t="shared" si="36"/>
        <v>3.9476572497293043</v>
      </c>
    </row>
    <row r="2324" spans="1:3" x14ac:dyDescent="0.15">
      <c r="A2324" s="22">
        <v>44501</v>
      </c>
      <c r="B2324">
        <v>9642.44</v>
      </c>
      <c r="C2324">
        <f t="shared" si="36"/>
        <v>3.9548019818223583</v>
      </c>
    </row>
    <row r="2325" spans="1:3" x14ac:dyDescent="0.15">
      <c r="A2325" s="22">
        <v>44502</v>
      </c>
      <c r="B2325">
        <v>9677.9500000000007</v>
      </c>
      <c r="C2325">
        <f t="shared" si="36"/>
        <v>3.9693662433966601</v>
      </c>
    </row>
    <row r="2326" spans="1:3" x14ac:dyDescent="0.15">
      <c r="A2326" s="22">
        <v>44503</v>
      </c>
      <c r="B2326">
        <v>9740.4699999999993</v>
      </c>
      <c r="C2326">
        <f t="shared" si="36"/>
        <v>3.9950085310233945</v>
      </c>
    </row>
    <row r="2327" spans="1:3" x14ac:dyDescent="0.15">
      <c r="A2327" s="22">
        <v>44504</v>
      </c>
      <c r="B2327">
        <v>9782.48</v>
      </c>
      <c r="C2327">
        <f t="shared" si="36"/>
        <v>4.0122387374085378</v>
      </c>
    </row>
    <row r="2328" spans="1:3" x14ac:dyDescent="0.15">
      <c r="A2328" s="22">
        <v>44505</v>
      </c>
      <c r="B2328">
        <v>9819.98</v>
      </c>
      <c r="C2328">
        <f t="shared" si="36"/>
        <v>4.0276191882403127</v>
      </c>
    </row>
    <row r="2329" spans="1:3" x14ac:dyDescent="0.15">
      <c r="A2329" s="22">
        <v>44508</v>
      </c>
      <c r="B2329">
        <v>9828.81</v>
      </c>
      <c r="C2329">
        <f t="shared" si="36"/>
        <v>4.0312407717295011</v>
      </c>
    </row>
    <row r="2330" spans="1:3" x14ac:dyDescent="0.15">
      <c r="A2330" s="22">
        <v>44509</v>
      </c>
      <c r="B2330">
        <v>9795.1200000000008</v>
      </c>
      <c r="C2330">
        <f t="shared" si="36"/>
        <v>4.0174229747022352</v>
      </c>
    </row>
    <row r="2331" spans="1:3" x14ac:dyDescent="0.15">
      <c r="A2331" s="22">
        <v>44510</v>
      </c>
      <c r="B2331">
        <v>9716.7199999999993</v>
      </c>
      <c r="C2331">
        <f t="shared" si="36"/>
        <v>3.9852675788299372</v>
      </c>
    </row>
    <row r="2332" spans="1:3" x14ac:dyDescent="0.15">
      <c r="A2332" s="22">
        <v>44511</v>
      </c>
      <c r="B2332">
        <v>9722.08</v>
      </c>
      <c r="C2332">
        <f t="shared" si="36"/>
        <v>3.9874659579354925</v>
      </c>
    </row>
    <row r="2333" spans="1:3" x14ac:dyDescent="0.15">
      <c r="A2333" s="22">
        <v>44512</v>
      </c>
      <c r="B2333">
        <v>9793.2199999999993</v>
      </c>
      <c r="C2333">
        <f t="shared" si="36"/>
        <v>4.0166436985267575</v>
      </c>
    </row>
    <row r="2334" spans="1:3" x14ac:dyDescent="0.15">
      <c r="A2334" s="22">
        <v>44515</v>
      </c>
      <c r="B2334">
        <v>9793.5300000000007</v>
      </c>
      <c r="C2334">
        <f t="shared" si="36"/>
        <v>4.0167708435869676</v>
      </c>
    </row>
    <row r="2335" spans="1:3" x14ac:dyDescent="0.15">
      <c r="A2335" s="22">
        <v>44516</v>
      </c>
      <c r="B2335">
        <v>9831.91</v>
      </c>
      <c r="C2335">
        <f t="shared" si="36"/>
        <v>4.0325122223315946</v>
      </c>
    </row>
    <row r="2336" spans="1:3" x14ac:dyDescent="0.15">
      <c r="A2336" s="22">
        <v>44517</v>
      </c>
      <c r="B2336">
        <v>9808.27</v>
      </c>
      <c r="C2336">
        <f t="shared" si="36"/>
        <v>4.0228163861272437</v>
      </c>
    </row>
    <row r="2337" spans="1:3" x14ac:dyDescent="0.15">
      <c r="A2337" s="22">
        <v>44518</v>
      </c>
      <c r="B2337">
        <v>9842.35</v>
      </c>
      <c r="C2337">
        <f t="shared" si="36"/>
        <v>4.0367941398431606</v>
      </c>
    </row>
    <row r="2338" spans="1:3" x14ac:dyDescent="0.15">
      <c r="A2338" s="22">
        <v>44519</v>
      </c>
      <c r="B2338">
        <v>9828.7999999999993</v>
      </c>
      <c r="C2338">
        <f t="shared" si="36"/>
        <v>4.0312366702759457</v>
      </c>
    </row>
    <row r="2339" spans="1:3" x14ac:dyDescent="0.15">
      <c r="A2339" s="22">
        <v>44522</v>
      </c>
      <c r="B2339">
        <v>9798.2900000000009</v>
      </c>
      <c r="C2339">
        <f t="shared" si="36"/>
        <v>4.0187231354792141</v>
      </c>
    </row>
    <row r="2340" spans="1:3" x14ac:dyDescent="0.15">
      <c r="A2340" s="22">
        <v>44523</v>
      </c>
      <c r="B2340">
        <v>9814.65</v>
      </c>
      <c r="C2340">
        <f t="shared" si="36"/>
        <v>4.0254331134954224</v>
      </c>
    </row>
    <row r="2341" spans="1:3" x14ac:dyDescent="0.15">
      <c r="A2341" s="22">
        <v>44524</v>
      </c>
      <c r="B2341">
        <v>9837.6</v>
      </c>
      <c r="C2341">
        <f t="shared" si="36"/>
        <v>4.0348459494044695</v>
      </c>
    </row>
    <row r="2342" spans="1:3" x14ac:dyDescent="0.15">
      <c r="A2342" s="22">
        <v>44526</v>
      </c>
      <c r="B2342">
        <v>9614.25</v>
      </c>
      <c r="C2342">
        <f t="shared" si="36"/>
        <v>3.9432399842504187</v>
      </c>
    </row>
    <row r="2343" spans="1:3" x14ac:dyDescent="0.15">
      <c r="A2343" s="22">
        <v>44529</v>
      </c>
      <c r="B2343">
        <v>9741.7800000000007</v>
      </c>
      <c r="C2343">
        <f t="shared" si="36"/>
        <v>3.9955458214391184</v>
      </c>
    </row>
    <row r="2344" spans="1:3" x14ac:dyDescent="0.15">
      <c r="A2344" s="22">
        <v>44530</v>
      </c>
      <c r="B2344">
        <v>9558.33</v>
      </c>
      <c r="C2344">
        <f t="shared" si="36"/>
        <v>3.9203046559700758</v>
      </c>
    </row>
    <row r="2345" spans="1:3" x14ac:dyDescent="0.15">
      <c r="A2345" s="22">
        <v>44531</v>
      </c>
      <c r="B2345">
        <v>9446.2099999999991</v>
      </c>
      <c r="C2345">
        <f t="shared" si="36"/>
        <v>3.8743191587098464</v>
      </c>
    </row>
    <row r="2346" spans="1:3" x14ac:dyDescent="0.15">
      <c r="A2346" s="22">
        <v>44532</v>
      </c>
      <c r="B2346">
        <v>9581.7900000000009</v>
      </c>
      <c r="C2346">
        <f t="shared" si="36"/>
        <v>3.9299266660104348</v>
      </c>
    </row>
    <row r="2347" spans="1:3" x14ac:dyDescent="0.15">
      <c r="A2347" s="22">
        <v>44533</v>
      </c>
      <c r="B2347">
        <v>9501.2800000000007</v>
      </c>
      <c r="C2347">
        <f t="shared" si="36"/>
        <v>3.8969058634380027</v>
      </c>
    </row>
    <row r="2348" spans="1:3" x14ac:dyDescent="0.15">
      <c r="A2348" s="22">
        <v>44536</v>
      </c>
      <c r="B2348">
        <v>9613.02</v>
      </c>
      <c r="C2348">
        <f t="shared" si="36"/>
        <v>3.9427355054631366</v>
      </c>
    </row>
    <row r="2349" spans="1:3" x14ac:dyDescent="0.15">
      <c r="A2349" s="22">
        <v>44537</v>
      </c>
      <c r="B2349">
        <v>9812.2000000000007</v>
      </c>
      <c r="C2349">
        <f t="shared" si="36"/>
        <v>4.0244282573744137</v>
      </c>
    </row>
    <row r="2350" spans="1:3" x14ac:dyDescent="0.15">
      <c r="A2350" s="22">
        <v>44538</v>
      </c>
      <c r="B2350">
        <v>9842.68</v>
      </c>
      <c r="C2350">
        <f t="shared" si="36"/>
        <v>4.0369294878104807</v>
      </c>
    </row>
    <row r="2351" spans="1:3" x14ac:dyDescent="0.15">
      <c r="A2351" s="22">
        <v>44539</v>
      </c>
      <c r="B2351">
        <v>9773.19</v>
      </c>
      <c r="C2351">
        <f t="shared" si="36"/>
        <v>4.0084284870558129</v>
      </c>
    </row>
    <row r="2352" spans="1:3" x14ac:dyDescent="0.15">
      <c r="A2352" s="22">
        <v>44540</v>
      </c>
      <c r="B2352">
        <v>9866.6200000000008</v>
      </c>
      <c r="C2352">
        <f t="shared" si="36"/>
        <v>4.0467483676214853</v>
      </c>
    </row>
    <row r="2353" spans="1:3" x14ac:dyDescent="0.15">
      <c r="A2353" s="22">
        <v>44543</v>
      </c>
      <c r="B2353">
        <v>9776.69</v>
      </c>
      <c r="C2353">
        <f t="shared" si="36"/>
        <v>4.0098639958001119</v>
      </c>
    </row>
    <row r="2354" spans="1:3" x14ac:dyDescent="0.15">
      <c r="A2354" s="22">
        <v>44544</v>
      </c>
      <c r="B2354">
        <v>9705.06</v>
      </c>
      <c r="C2354">
        <f t="shared" si="36"/>
        <v>3.9804852839846441</v>
      </c>
    </row>
    <row r="2355" spans="1:3" x14ac:dyDescent="0.15">
      <c r="A2355" s="22">
        <v>44545</v>
      </c>
      <c r="B2355">
        <v>9863.92</v>
      </c>
      <c r="C2355">
        <f t="shared" si="36"/>
        <v>4.0456409751615974</v>
      </c>
    </row>
    <row r="2356" spans="1:3" x14ac:dyDescent="0.15">
      <c r="A2356" s="22">
        <v>44546</v>
      </c>
      <c r="B2356">
        <v>9778.09</v>
      </c>
      <c r="C2356">
        <f t="shared" si="36"/>
        <v>4.0104381992978313</v>
      </c>
    </row>
    <row r="2357" spans="1:3" x14ac:dyDescent="0.15">
      <c r="A2357" s="22">
        <v>44547</v>
      </c>
      <c r="B2357">
        <v>9678.0300000000007</v>
      </c>
      <c r="C2357">
        <f t="shared" si="36"/>
        <v>3.9693990550251015</v>
      </c>
    </row>
    <row r="2358" spans="1:3" x14ac:dyDescent="0.15">
      <c r="A2358" s="22">
        <v>44550</v>
      </c>
      <c r="B2358">
        <v>9567.91</v>
      </c>
      <c r="C2358">
        <f t="shared" si="36"/>
        <v>3.9242338484758998</v>
      </c>
    </row>
    <row r="2359" spans="1:3" x14ac:dyDescent="0.15">
      <c r="A2359" s="22">
        <v>44551</v>
      </c>
      <c r="B2359">
        <v>9738.73</v>
      </c>
      <c r="C2359">
        <f t="shared" si="36"/>
        <v>3.9942948781048004</v>
      </c>
    </row>
    <row r="2360" spans="1:3" x14ac:dyDescent="0.15">
      <c r="A2360" s="22">
        <v>44552</v>
      </c>
      <c r="B2360">
        <v>9838.9</v>
      </c>
      <c r="C2360">
        <f t="shared" si="36"/>
        <v>4.0353791383666371</v>
      </c>
    </row>
    <row r="2361" spans="1:3" x14ac:dyDescent="0.15">
      <c r="A2361" s="22">
        <v>44553</v>
      </c>
      <c r="B2361">
        <v>9900.2999999999993</v>
      </c>
      <c r="C2361">
        <f t="shared" si="36"/>
        <v>4.0605620631951966</v>
      </c>
    </row>
    <row r="2362" spans="1:3" x14ac:dyDescent="0.15">
      <c r="A2362" s="22">
        <v>44557</v>
      </c>
      <c r="B2362">
        <v>10037.67</v>
      </c>
      <c r="C2362">
        <f t="shared" si="36"/>
        <v>4.1169037306821537</v>
      </c>
    </row>
    <row r="2363" spans="1:3" x14ac:dyDescent="0.15">
      <c r="A2363" s="22">
        <v>44558</v>
      </c>
      <c r="B2363">
        <v>10027.530000000001</v>
      </c>
      <c r="C2363">
        <f t="shared" si="36"/>
        <v>4.1127448567772422</v>
      </c>
    </row>
    <row r="2364" spans="1:3" x14ac:dyDescent="0.15">
      <c r="A2364" s="22">
        <v>44559</v>
      </c>
      <c r="B2364">
        <v>10041.61</v>
      </c>
      <c r="C2364">
        <f t="shared" si="36"/>
        <v>4.1185197033828791</v>
      </c>
    </row>
    <row r="2365" spans="1:3" x14ac:dyDescent="0.15">
      <c r="A2365" s="22">
        <v>44560</v>
      </c>
      <c r="B2365">
        <v>10012.51</v>
      </c>
      <c r="C2365">
        <f t="shared" si="36"/>
        <v>4.1065844735374224</v>
      </c>
    </row>
    <row r="2366" spans="1:3" x14ac:dyDescent="0.15">
      <c r="A2366" s="22">
        <v>44561</v>
      </c>
      <c r="B2366">
        <v>9986.7000000000007</v>
      </c>
      <c r="C2366">
        <f t="shared" si="36"/>
        <v>4.0959986219116056</v>
      </c>
    </row>
    <row r="2367" spans="1:3" x14ac:dyDescent="0.15">
      <c r="A2367" s="22">
        <v>44564</v>
      </c>
      <c r="B2367">
        <v>10050.41</v>
      </c>
      <c r="C2367">
        <f t="shared" si="36"/>
        <v>4.122128982511402</v>
      </c>
    </row>
    <row r="2368" spans="1:3" x14ac:dyDescent="0.15">
      <c r="A2368" s="22">
        <v>44565</v>
      </c>
      <c r="B2368">
        <v>10044.75</v>
      </c>
      <c r="C2368">
        <f t="shared" si="36"/>
        <v>4.1198075597991934</v>
      </c>
    </row>
    <row r="2369" spans="1:3" x14ac:dyDescent="0.15">
      <c r="A2369" s="22">
        <v>44566</v>
      </c>
      <c r="B2369">
        <v>9850.7000000000007</v>
      </c>
      <c r="C2369">
        <f t="shared" si="36"/>
        <v>4.0402188535617025</v>
      </c>
    </row>
    <row r="2370" spans="1:3" x14ac:dyDescent="0.15">
      <c r="A2370" s="22">
        <v>44567</v>
      </c>
      <c r="B2370">
        <v>9841.92</v>
      </c>
      <c r="C2370">
        <f t="shared" ref="C2370:C2433" si="37">(B2370 / $B$2)</f>
        <v>4.0366177773402896</v>
      </c>
    </row>
    <row r="2371" spans="1:3" x14ac:dyDescent="0.15">
      <c r="A2371" s="22">
        <v>44568</v>
      </c>
      <c r="B2371">
        <v>9803.85</v>
      </c>
      <c r="C2371">
        <f t="shared" si="37"/>
        <v>4.0210035436558718</v>
      </c>
    </row>
    <row r="2372" spans="1:3" x14ac:dyDescent="0.15">
      <c r="A2372" s="22">
        <v>44571</v>
      </c>
      <c r="B2372">
        <v>9789.7199999999993</v>
      </c>
      <c r="C2372">
        <f t="shared" si="37"/>
        <v>4.0152081897824585</v>
      </c>
    </row>
    <row r="2373" spans="1:3" x14ac:dyDescent="0.15">
      <c r="A2373" s="22">
        <v>44572</v>
      </c>
      <c r="B2373">
        <v>9879.39</v>
      </c>
      <c r="C2373">
        <f t="shared" si="37"/>
        <v>4.0519859238113991</v>
      </c>
    </row>
    <row r="2374" spans="1:3" x14ac:dyDescent="0.15">
      <c r="A2374" s="22">
        <v>44573</v>
      </c>
      <c r="B2374">
        <v>9907.3799999999992</v>
      </c>
      <c r="C2374">
        <f t="shared" si="37"/>
        <v>4.0634658923122355</v>
      </c>
    </row>
    <row r="2375" spans="1:3" x14ac:dyDescent="0.15">
      <c r="A2375" s="22">
        <v>44574</v>
      </c>
      <c r="B2375">
        <v>9767.35</v>
      </c>
      <c r="C2375">
        <f t="shared" si="37"/>
        <v>4.0060332381796115</v>
      </c>
    </row>
    <row r="2376" spans="1:3" x14ac:dyDescent="0.15">
      <c r="A2376" s="22">
        <v>44575</v>
      </c>
      <c r="B2376">
        <v>9775.5300000000007</v>
      </c>
      <c r="C2376">
        <f t="shared" si="37"/>
        <v>4.0093882271877161</v>
      </c>
    </row>
    <row r="2377" spans="1:3" x14ac:dyDescent="0.15">
      <c r="A2377" s="22">
        <v>44579</v>
      </c>
      <c r="B2377">
        <v>9595.93</v>
      </c>
      <c r="C2377">
        <f t="shared" si="37"/>
        <v>3.9357261213374022</v>
      </c>
    </row>
    <row r="2378" spans="1:3" x14ac:dyDescent="0.15">
      <c r="A2378" s="22">
        <v>44580</v>
      </c>
      <c r="B2378">
        <v>9503.14</v>
      </c>
      <c r="C2378">
        <f t="shared" si="37"/>
        <v>3.8976687337992586</v>
      </c>
    </row>
    <row r="2379" spans="1:3" x14ac:dyDescent="0.15">
      <c r="A2379" s="22">
        <v>44581</v>
      </c>
      <c r="B2379">
        <v>9398.9599999999991</v>
      </c>
      <c r="C2379">
        <f t="shared" si="37"/>
        <v>3.8549397906618106</v>
      </c>
    </row>
    <row r="2380" spans="1:3" x14ac:dyDescent="0.15">
      <c r="A2380" s="22">
        <v>44582</v>
      </c>
      <c r="B2380">
        <v>9221.2800000000007</v>
      </c>
      <c r="C2380">
        <f t="shared" si="37"/>
        <v>3.7820651638940848</v>
      </c>
    </row>
    <row r="2381" spans="1:3" x14ac:dyDescent="0.15">
      <c r="A2381" s="22">
        <v>44585</v>
      </c>
      <c r="B2381">
        <v>9246.84</v>
      </c>
      <c r="C2381">
        <f t="shared" si="37"/>
        <v>3.792548479181022</v>
      </c>
    </row>
    <row r="2382" spans="1:3" x14ac:dyDescent="0.15">
      <c r="A2382" s="22">
        <v>44586</v>
      </c>
      <c r="B2382">
        <v>9134.33</v>
      </c>
      <c r="C2382">
        <f t="shared" si="37"/>
        <v>3.7464030252321425</v>
      </c>
    </row>
    <row r="2383" spans="1:3" x14ac:dyDescent="0.15">
      <c r="A2383" s="22">
        <v>44587</v>
      </c>
      <c r="B2383">
        <v>9120.75</v>
      </c>
      <c r="C2383">
        <f t="shared" si="37"/>
        <v>3.7408332513042626</v>
      </c>
    </row>
    <row r="2384" spans="1:3" x14ac:dyDescent="0.15">
      <c r="A2384" s="22">
        <v>44588</v>
      </c>
      <c r="B2384">
        <v>9072.24</v>
      </c>
      <c r="C2384">
        <f t="shared" si="37"/>
        <v>3.7209371001082787</v>
      </c>
    </row>
    <row r="2385" spans="1:3" x14ac:dyDescent="0.15">
      <c r="A2385" s="22">
        <v>44589</v>
      </c>
      <c r="B2385">
        <v>9294.2099999999991</v>
      </c>
      <c r="C2385">
        <f t="shared" si="37"/>
        <v>3.8119770646717197</v>
      </c>
    </row>
    <row r="2386" spans="1:3" x14ac:dyDescent="0.15">
      <c r="A2386" s="22">
        <v>44592</v>
      </c>
      <c r="B2386">
        <v>9469.92</v>
      </c>
      <c r="C2386">
        <f t="shared" si="37"/>
        <v>3.8840437050890837</v>
      </c>
    </row>
    <row r="2387" spans="1:3" x14ac:dyDescent="0.15">
      <c r="A2387" s="22">
        <v>44593</v>
      </c>
      <c r="B2387">
        <v>9534.9500000000007</v>
      </c>
      <c r="C2387">
        <f t="shared" si="37"/>
        <v>3.9107154575581591</v>
      </c>
    </row>
    <row r="2388" spans="1:3" x14ac:dyDescent="0.15">
      <c r="A2388" s="22">
        <v>44594</v>
      </c>
      <c r="B2388">
        <v>9624.89</v>
      </c>
      <c r="C2388">
        <f t="shared" si="37"/>
        <v>3.947603930833087</v>
      </c>
    </row>
    <row r="2389" spans="1:3" x14ac:dyDescent="0.15">
      <c r="A2389" s="22">
        <v>44595</v>
      </c>
      <c r="B2389">
        <v>9390.57</v>
      </c>
      <c r="C2389">
        <f t="shared" si="37"/>
        <v>3.8514986711290482</v>
      </c>
    </row>
    <row r="2390" spans="1:3" x14ac:dyDescent="0.15">
      <c r="A2390" s="22">
        <v>44596</v>
      </c>
      <c r="B2390">
        <v>9440.58</v>
      </c>
      <c r="C2390">
        <f t="shared" si="37"/>
        <v>3.8720100403583033</v>
      </c>
    </row>
    <row r="2391" spans="1:3" x14ac:dyDescent="0.15">
      <c r="A2391" s="22">
        <v>44599</v>
      </c>
      <c r="B2391">
        <v>9405.84</v>
      </c>
      <c r="C2391">
        <f t="shared" si="37"/>
        <v>3.8577615907077472</v>
      </c>
    </row>
    <row r="2392" spans="1:3" x14ac:dyDescent="0.15">
      <c r="A2392" s="22">
        <v>44600</v>
      </c>
      <c r="B2392">
        <v>9484.9500000000007</v>
      </c>
      <c r="C2392">
        <f t="shared" si="37"/>
        <v>3.8902081897824594</v>
      </c>
    </row>
    <row r="2393" spans="1:3" x14ac:dyDescent="0.15">
      <c r="A2393" s="22">
        <v>44601</v>
      </c>
      <c r="B2393">
        <v>9623.84</v>
      </c>
      <c r="C2393">
        <f t="shared" si="37"/>
        <v>3.9471732782097977</v>
      </c>
    </row>
    <row r="2394" spans="1:3" x14ac:dyDescent="0.15">
      <c r="A2394" s="22">
        <v>44602</v>
      </c>
      <c r="B2394">
        <v>9450.7199999999993</v>
      </c>
      <c r="C2394">
        <f t="shared" si="37"/>
        <v>3.8761689142632147</v>
      </c>
    </row>
    <row r="2395" spans="1:3" x14ac:dyDescent="0.15">
      <c r="A2395" s="22">
        <v>44603</v>
      </c>
      <c r="B2395">
        <v>9271.7999999999993</v>
      </c>
      <c r="C2395">
        <f t="shared" si="37"/>
        <v>3.8027857072546509</v>
      </c>
    </row>
    <row r="2396" spans="1:3" x14ac:dyDescent="0.15">
      <c r="A2396" s="22">
        <v>44606</v>
      </c>
      <c r="B2396">
        <v>9236.86</v>
      </c>
      <c r="C2396">
        <f t="shared" si="37"/>
        <v>3.7884552285329924</v>
      </c>
    </row>
    <row r="2397" spans="1:3" x14ac:dyDescent="0.15">
      <c r="A2397" s="22">
        <v>44607</v>
      </c>
      <c r="B2397">
        <v>9383.57</v>
      </c>
      <c r="C2397">
        <f t="shared" si="37"/>
        <v>3.8486276536404502</v>
      </c>
    </row>
    <row r="2398" spans="1:3" x14ac:dyDescent="0.15">
      <c r="A2398" s="22">
        <v>44608</v>
      </c>
      <c r="B2398">
        <v>9393.09</v>
      </c>
      <c r="C2398">
        <f t="shared" si="37"/>
        <v>3.8525322374249438</v>
      </c>
    </row>
    <row r="2399" spans="1:3" x14ac:dyDescent="0.15">
      <c r="A2399" s="22">
        <v>44609</v>
      </c>
      <c r="B2399">
        <v>9195.35</v>
      </c>
      <c r="C2399">
        <f t="shared" si="37"/>
        <v>3.7714300948256065</v>
      </c>
    </row>
    <row r="2400" spans="1:3" x14ac:dyDescent="0.15">
      <c r="A2400" s="22">
        <v>44610</v>
      </c>
      <c r="B2400">
        <v>9130.81</v>
      </c>
      <c r="C2400">
        <f t="shared" si="37"/>
        <v>3.7449593135807331</v>
      </c>
    </row>
    <row r="2401" spans="1:3" x14ac:dyDescent="0.15">
      <c r="A2401" s="22">
        <v>44614</v>
      </c>
      <c r="B2401">
        <v>9038.32</v>
      </c>
      <c r="C2401">
        <f t="shared" si="37"/>
        <v>3.7070249696492437</v>
      </c>
    </row>
    <row r="2402" spans="1:3" x14ac:dyDescent="0.15">
      <c r="A2402" s="22">
        <v>44615</v>
      </c>
      <c r="B2402">
        <v>8871.9500000000007</v>
      </c>
      <c r="C2402">
        <f t="shared" si="37"/>
        <v>3.6387890868523809</v>
      </c>
    </row>
    <row r="2403" spans="1:3" x14ac:dyDescent="0.15">
      <c r="A2403" s="22">
        <v>44616</v>
      </c>
      <c r="B2403">
        <v>9005.3700000000008</v>
      </c>
      <c r="C2403">
        <f t="shared" si="37"/>
        <v>3.6935106801850583</v>
      </c>
    </row>
    <row r="2404" spans="1:3" x14ac:dyDescent="0.15">
      <c r="A2404" s="22">
        <v>44617</v>
      </c>
      <c r="B2404">
        <v>9207.85</v>
      </c>
      <c r="C2404">
        <f t="shared" si="37"/>
        <v>3.7765569117695317</v>
      </c>
    </row>
    <row r="2405" spans="1:3" x14ac:dyDescent="0.15">
      <c r="A2405" s="22">
        <v>44620</v>
      </c>
      <c r="B2405">
        <v>9186.3700000000008</v>
      </c>
      <c r="C2405">
        <f t="shared" si="37"/>
        <v>3.7677469895330913</v>
      </c>
    </row>
    <row r="2406" spans="1:3" x14ac:dyDescent="0.15">
      <c r="A2406" s="22">
        <v>44621</v>
      </c>
      <c r="B2406">
        <v>9044.4699999999993</v>
      </c>
      <c r="C2406">
        <f t="shared" si="37"/>
        <v>3.7095473635856546</v>
      </c>
    </row>
    <row r="2407" spans="1:3" x14ac:dyDescent="0.15">
      <c r="A2407" s="22">
        <v>44622</v>
      </c>
      <c r="B2407">
        <v>9213.39</v>
      </c>
      <c r="C2407">
        <f t="shared" si="37"/>
        <v>3.7788291170390784</v>
      </c>
    </row>
    <row r="2408" spans="1:3" x14ac:dyDescent="0.15">
      <c r="A2408" s="22">
        <v>44623</v>
      </c>
      <c r="B2408">
        <v>9166.1299999999992</v>
      </c>
      <c r="C2408">
        <f t="shared" si="37"/>
        <v>3.7594456475374871</v>
      </c>
    </row>
    <row r="2409" spans="1:3" x14ac:dyDescent="0.15">
      <c r="A2409" s="22">
        <v>44624</v>
      </c>
      <c r="B2409">
        <v>9094.0400000000009</v>
      </c>
      <c r="C2409">
        <f t="shared" si="37"/>
        <v>3.7298782688584842</v>
      </c>
    </row>
    <row r="2410" spans="1:3" x14ac:dyDescent="0.15">
      <c r="A2410" s="22">
        <v>44627</v>
      </c>
      <c r="B2410">
        <v>8825.7199999999993</v>
      </c>
      <c r="C2410">
        <f t="shared" si="37"/>
        <v>3.6198280670669685</v>
      </c>
    </row>
    <row r="2411" spans="1:3" x14ac:dyDescent="0.15">
      <c r="A2411" s="22">
        <v>44628</v>
      </c>
      <c r="B2411">
        <v>8762.11</v>
      </c>
      <c r="C2411">
        <f t="shared" si="37"/>
        <v>3.5937387210027238</v>
      </c>
    </row>
    <row r="2412" spans="1:3" x14ac:dyDescent="0.15">
      <c r="A2412" s="22">
        <v>44629</v>
      </c>
      <c r="B2412">
        <v>8988.65</v>
      </c>
      <c r="C2412">
        <f t="shared" si="37"/>
        <v>3.6866530498408636</v>
      </c>
    </row>
    <row r="2413" spans="1:3" x14ac:dyDescent="0.15">
      <c r="A2413" s="22">
        <v>44630</v>
      </c>
      <c r="B2413">
        <v>8950.9</v>
      </c>
      <c r="C2413">
        <f t="shared" si="37"/>
        <v>3.6711700626702104</v>
      </c>
    </row>
    <row r="2414" spans="1:3" x14ac:dyDescent="0.15">
      <c r="A2414" s="22">
        <v>44631</v>
      </c>
      <c r="B2414">
        <v>8835.4</v>
      </c>
      <c r="C2414">
        <f t="shared" si="37"/>
        <v>3.6237982741083439</v>
      </c>
    </row>
    <row r="2415" spans="1:3" x14ac:dyDescent="0.15">
      <c r="A2415" s="22">
        <v>44634</v>
      </c>
      <c r="B2415">
        <v>8771.75</v>
      </c>
      <c r="C2415">
        <f t="shared" si="37"/>
        <v>3.5976925222298783</v>
      </c>
    </row>
    <row r="2416" spans="1:3" x14ac:dyDescent="0.15">
      <c r="A2416" s="22">
        <v>44635</v>
      </c>
      <c r="B2416">
        <v>8959.74</v>
      </c>
      <c r="C2416">
        <f t="shared" si="37"/>
        <v>3.6747957476129542</v>
      </c>
    </row>
    <row r="2417" spans="1:3" x14ac:dyDescent="0.15">
      <c r="A2417" s="22">
        <v>44636</v>
      </c>
      <c r="B2417">
        <v>9160.51</v>
      </c>
      <c r="C2417">
        <f t="shared" si="37"/>
        <v>3.757140630639499</v>
      </c>
    </row>
    <row r="2418" spans="1:3" x14ac:dyDescent="0.15">
      <c r="A2418" s="22">
        <v>44637</v>
      </c>
      <c r="B2418">
        <v>9274.17</v>
      </c>
      <c r="C2418">
        <f t="shared" si="37"/>
        <v>3.8037577517472196</v>
      </c>
    </row>
    <row r="2419" spans="1:3" x14ac:dyDescent="0.15">
      <c r="A2419" s="22">
        <v>44638</v>
      </c>
      <c r="B2419">
        <v>9382.43</v>
      </c>
      <c r="C2419">
        <f t="shared" si="37"/>
        <v>3.8481600879351645</v>
      </c>
    </row>
    <row r="2420" spans="1:3" x14ac:dyDescent="0.15">
      <c r="A2420" s="22">
        <v>44641</v>
      </c>
      <c r="B2420">
        <v>9378.84</v>
      </c>
      <c r="C2420">
        <f t="shared" si="37"/>
        <v>3.8466876661088691</v>
      </c>
    </row>
    <row r="2421" spans="1:3" x14ac:dyDescent="0.15">
      <c r="A2421" s="22">
        <v>44642</v>
      </c>
      <c r="B2421">
        <v>9484.86</v>
      </c>
      <c r="C2421">
        <f t="shared" si="37"/>
        <v>3.890171276700463</v>
      </c>
    </row>
    <row r="2422" spans="1:3" x14ac:dyDescent="0.15">
      <c r="A2422" s="22">
        <v>44643</v>
      </c>
      <c r="B2422">
        <v>9368.98</v>
      </c>
      <c r="C2422">
        <f t="shared" si="37"/>
        <v>3.842643632903501</v>
      </c>
    </row>
    <row r="2423" spans="1:3" x14ac:dyDescent="0.15">
      <c r="A2423" s="22">
        <v>44644</v>
      </c>
      <c r="B2423">
        <v>9504.19</v>
      </c>
      <c r="C2423">
        <f t="shared" si="37"/>
        <v>3.8980993864225484</v>
      </c>
    </row>
    <row r="2424" spans="1:3" x14ac:dyDescent="0.15">
      <c r="A2424" s="22">
        <v>44645</v>
      </c>
      <c r="B2424">
        <v>9552.4</v>
      </c>
      <c r="C2424">
        <f t="shared" si="37"/>
        <v>3.9178724940118781</v>
      </c>
    </row>
    <row r="2425" spans="1:3" x14ac:dyDescent="0.15">
      <c r="A2425" s="22">
        <v>44648</v>
      </c>
      <c r="B2425">
        <v>9620.66</v>
      </c>
      <c r="C2425">
        <f t="shared" si="37"/>
        <v>3.9458690159792633</v>
      </c>
    </row>
    <row r="2426" spans="1:3" x14ac:dyDescent="0.15">
      <c r="A2426" s="22">
        <v>44649</v>
      </c>
      <c r="B2426">
        <v>9738.6</v>
      </c>
      <c r="C2426">
        <f t="shared" si="37"/>
        <v>3.994241559208584</v>
      </c>
    </row>
    <row r="2427" spans="1:3" x14ac:dyDescent="0.15">
      <c r="A2427" s="22">
        <v>44650</v>
      </c>
      <c r="B2427">
        <v>9678.2999999999993</v>
      </c>
      <c r="C2427">
        <f t="shared" si="37"/>
        <v>3.9695097942710897</v>
      </c>
    </row>
    <row r="2428" spans="1:3" x14ac:dyDescent="0.15">
      <c r="A2428" s="22">
        <v>44651</v>
      </c>
      <c r="B2428">
        <v>9527.4599999999991</v>
      </c>
      <c r="C2428">
        <f t="shared" si="37"/>
        <v>3.9076434688453587</v>
      </c>
    </row>
    <row r="2429" spans="1:3" x14ac:dyDescent="0.15">
      <c r="A2429" s="22">
        <v>44652</v>
      </c>
      <c r="B2429">
        <v>9559.9500000000007</v>
      </c>
      <c r="C2429">
        <f t="shared" si="37"/>
        <v>3.9209690914460089</v>
      </c>
    </row>
    <row r="2430" spans="1:3" x14ac:dyDescent="0.15">
      <c r="A2430" s="22">
        <v>44655</v>
      </c>
      <c r="B2430">
        <v>9637.3700000000008</v>
      </c>
      <c r="C2430">
        <f t="shared" si="37"/>
        <v>3.9527225448699026</v>
      </c>
    </row>
    <row r="2431" spans="1:3" x14ac:dyDescent="0.15">
      <c r="A2431" s="22">
        <v>44656</v>
      </c>
      <c r="B2431">
        <v>9517.94</v>
      </c>
      <c r="C2431">
        <f t="shared" si="37"/>
        <v>3.9037388850608661</v>
      </c>
    </row>
    <row r="2432" spans="1:3" x14ac:dyDescent="0.15">
      <c r="A2432" s="22">
        <v>44657</v>
      </c>
      <c r="B2432">
        <v>9425.49</v>
      </c>
      <c r="C2432">
        <f t="shared" si="37"/>
        <v>3.8658209469435971</v>
      </c>
    </row>
    <row r="2433" spans="1:3" x14ac:dyDescent="0.15">
      <c r="A2433" s="22">
        <v>44658</v>
      </c>
      <c r="B2433">
        <v>9466.76</v>
      </c>
      <c r="C2433">
        <f t="shared" si="37"/>
        <v>3.8827476457656598</v>
      </c>
    </row>
    <row r="2434" spans="1:3" x14ac:dyDescent="0.15">
      <c r="A2434" s="22">
        <v>44659</v>
      </c>
      <c r="B2434">
        <v>9441.84</v>
      </c>
      <c r="C2434">
        <f t="shared" ref="C2434:C2497" si="38">(B2434 / $B$2)</f>
        <v>3.8725268235062509</v>
      </c>
    </row>
    <row r="2435" spans="1:3" x14ac:dyDescent="0.15">
      <c r="A2435" s="22">
        <v>44662</v>
      </c>
      <c r="B2435">
        <v>9282.48</v>
      </c>
      <c r="C2435">
        <f t="shared" si="38"/>
        <v>3.8071660596515406</v>
      </c>
    </row>
    <row r="2436" spans="1:3" x14ac:dyDescent="0.15">
      <c r="A2436" s="22">
        <v>44663</v>
      </c>
      <c r="B2436">
        <v>9251.07</v>
      </c>
      <c r="C2436">
        <f t="shared" si="38"/>
        <v>3.7942833940348462</v>
      </c>
    </row>
    <row r="2437" spans="1:3" x14ac:dyDescent="0.15">
      <c r="A2437" s="22">
        <v>44664</v>
      </c>
      <c r="B2437">
        <v>9356.2099999999991</v>
      </c>
      <c r="C2437">
        <f t="shared" si="38"/>
        <v>3.8374060767135871</v>
      </c>
    </row>
    <row r="2438" spans="1:3" x14ac:dyDescent="0.15">
      <c r="A2438" s="22">
        <v>44665</v>
      </c>
      <c r="B2438">
        <v>9242.58</v>
      </c>
      <c r="C2438">
        <f t="shared" si="38"/>
        <v>3.7908012599665324</v>
      </c>
    </row>
    <row r="2439" spans="1:3" x14ac:dyDescent="0.15">
      <c r="A2439" s="22">
        <v>44669</v>
      </c>
      <c r="B2439">
        <v>9240.69</v>
      </c>
      <c r="C2439">
        <f t="shared" si="38"/>
        <v>3.790026085244611</v>
      </c>
    </row>
    <row r="2440" spans="1:3" x14ac:dyDescent="0.15">
      <c r="A2440" s="22">
        <v>44670</v>
      </c>
      <c r="B2440">
        <v>9389.2099999999991</v>
      </c>
      <c r="C2440">
        <f t="shared" si="38"/>
        <v>3.8509408734455488</v>
      </c>
    </row>
    <row r="2441" spans="1:3" x14ac:dyDescent="0.15">
      <c r="A2441" s="22">
        <v>44671</v>
      </c>
      <c r="B2441">
        <v>9383.5400000000009</v>
      </c>
      <c r="C2441">
        <f t="shared" si="38"/>
        <v>3.8486153492797852</v>
      </c>
    </row>
    <row r="2442" spans="1:3" x14ac:dyDescent="0.15">
      <c r="A2442" s="22">
        <v>44672</v>
      </c>
      <c r="B2442">
        <v>9245.86</v>
      </c>
      <c r="C2442">
        <f t="shared" si="38"/>
        <v>3.7921465367326186</v>
      </c>
    </row>
    <row r="2443" spans="1:3" x14ac:dyDescent="0.15">
      <c r="A2443" s="22">
        <v>44673</v>
      </c>
      <c r="B2443">
        <v>8989.51</v>
      </c>
      <c r="C2443">
        <f t="shared" si="38"/>
        <v>3.6870057748466061</v>
      </c>
    </row>
    <row r="2444" spans="1:3" x14ac:dyDescent="0.15">
      <c r="A2444" s="22">
        <v>44676</v>
      </c>
      <c r="B2444">
        <v>9040.86</v>
      </c>
      <c r="C2444">
        <f t="shared" si="38"/>
        <v>3.7080667388522497</v>
      </c>
    </row>
    <row r="2445" spans="1:3" x14ac:dyDescent="0.15">
      <c r="A2445" s="22">
        <v>44677</v>
      </c>
      <c r="B2445">
        <v>8786.4699999999993</v>
      </c>
      <c r="C2445">
        <f t="shared" si="38"/>
        <v>3.603729861863044</v>
      </c>
    </row>
    <row r="2446" spans="1:3" x14ac:dyDescent="0.15">
      <c r="A2446" s="22">
        <v>44678</v>
      </c>
      <c r="B2446">
        <v>8805</v>
      </c>
      <c r="C2446">
        <f t="shared" si="38"/>
        <v>3.6113298553007187</v>
      </c>
    </row>
    <row r="2447" spans="1:3" x14ac:dyDescent="0.15">
      <c r="A2447" s="22">
        <v>44679</v>
      </c>
      <c r="B2447">
        <v>9023.42</v>
      </c>
      <c r="C2447">
        <f t="shared" si="38"/>
        <v>3.7009138038520852</v>
      </c>
    </row>
    <row r="2448" spans="1:3" x14ac:dyDescent="0.15">
      <c r="A2448" s="22">
        <v>44680</v>
      </c>
      <c r="B2448">
        <v>8696.65</v>
      </c>
      <c r="C2448">
        <f t="shared" si="38"/>
        <v>3.5668906060307775</v>
      </c>
    </row>
    <row r="2449" spans="1:3" x14ac:dyDescent="0.15">
      <c r="A2449" s="22">
        <v>44683</v>
      </c>
      <c r="B2449">
        <v>8746.0499999999993</v>
      </c>
      <c r="C2449">
        <f t="shared" si="38"/>
        <v>3.5871517865931684</v>
      </c>
    </row>
    <row r="2450" spans="1:3" x14ac:dyDescent="0.15">
      <c r="A2450" s="22">
        <v>44684</v>
      </c>
      <c r="B2450">
        <v>8788.36</v>
      </c>
      <c r="C2450">
        <f t="shared" si="38"/>
        <v>3.6045050365849662</v>
      </c>
    </row>
    <row r="2451" spans="1:3" x14ac:dyDescent="0.15">
      <c r="A2451" s="22">
        <v>44685</v>
      </c>
      <c r="B2451">
        <v>9050.9</v>
      </c>
      <c r="C2451">
        <f t="shared" si="38"/>
        <v>3.7121845982216097</v>
      </c>
    </row>
    <row r="2452" spans="1:3" x14ac:dyDescent="0.15">
      <c r="A2452" s="22">
        <v>44686</v>
      </c>
      <c r="B2452">
        <v>8729.2099999999991</v>
      </c>
      <c r="C2452">
        <f t="shared" si="38"/>
        <v>3.5802449388063127</v>
      </c>
    </row>
    <row r="2453" spans="1:3" x14ac:dyDescent="0.15">
      <c r="A2453" s="22">
        <v>44687</v>
      </c>
      <c r="B2453">
        <v>8680.9699999999993</v>
      </c>
      <c r="C2453">
        <f t="shared" si="38"/>
        <v>3.5604595268563179</v>
      </c>
    </row>
    <row r="2454" spans="1:3" x14ac:dyDescent="0.15">
      <c r="A2454" s="22">
        <v>44690</v>
      </c>
      <c r="B2454">
        <v>8403.5</v>
      </c>
      <c r="C2454">
        <f t="shared" si="38"/>
        <v>3.4466564950618501</v>
      </c>
    </row>
    <row r="2455" spans="1:3" x14ac:dyDescent="0.15">
      <c r="A2455" s="22">
        <v>44691</v>
      </c>
      <c r="B2455">
        <v>8424.2000000000007</v>
      </c>
      <c r="C2455">
        <f t="shared" si="38"/>
        <v>3.4551465039209903</v>
      </c>
    </row>
    <row r="2456" spans="1:3" x14ac:dyDescent="0.15">
      <c r="A2456" s="22">
        <v>44692</v>
      </c>
      <c r="B2456">
        <v>8285.82</v>
      </c>
      <c r="C2456">
        <f t="shared" si="38"/>
        <v>3.3983905896249631</v>
      </c>
    </row>
    <row r="2457" spans="1:3" x14ac:dyDescent="0.15">
      <c r="A2457" s="22">
        <v>44693</v>
      </c>
      <c r="B2457">
        <v>8278.0400000000009</v>
      </c>
      <c r="C2457">
        <f t="shared" si="38"/>
        <v>3.3951996587590649</v>
      </c>
    </row>
    <row r="2458" spans="1:3" x14ac:dyDescent="0.15">
      <c r="A2458" s="22">
        <v>44694</v>
      </c>
      <c r="B2458">
        <v>8476.57</v>
      </c>
      <c r="C2458">
        <f t="shared" si="38"/>
        <v>3.4766258161892574</v>
      </c>
    </row>
    <row r="2459" spans="1:3" x14ac:dyDescent="0.15">
      <c r="A2459" s="22">
        <v>44697</v>
      </c>
      <c r="B2459">
        <v>8443.5499999999993</v>
      </c>
      <c r="C2459">
        <f t="shared" si="38"/>
        <v>3.4630828165501852</v>
      </c>
    </row>
    <row r="2460" spans="1:3" x14ac:dyDescent="0.15">
      <c r="A2460" s="22">
        <v>44698</v>
      </c>
      <c r="B2460">
        <v>8614.31</v>
      </c>
      <c r="C2460">
        <f t="shared" si="38"/>
        <v>3.5331192374577549</v>
      </c>
    </row>
    <row r="2461" spans="1:3" x14ac:dyDescent="0.15">
      <c r="A2461" s="22">
        <v>44699</v>
      </c>
      <c r="B2461">
        <v>8268.32</v>
      </c>
      <c r="C2461">
        <f t="shared" si="38"/>
        <v>3.3912130459034682</v>
      </c>
    </row>
    <row r="2462" spans="1:3" x14ac:dyDescent="0.15">
      <c r="A2462" s="22">
        <v>44700</v>
      </c>
      <c r="B2462">
        <v>8220.9699999999993</v>
      </c>
      <c r="C2462">
        <f t="shared" si="38"/>
        <v>3.3717926633198805</v>
      </c>
    </row>
    <row r="2463" spans="1:3" x14ac:dyDescent="0.15">
      <c r="A2463" s="22">
        <v>44701</v>
      </c>
      <c r="B2463">
        <v>8222.31</v>
      </c>
      <c r="C2463">
        <f t="shared" si="38"/>
        <v>3.3723422580962694</v>
      </c>
    </row>
    <row r="2464" spans="1:3" x14ac:dyDescent="0.15">
      <c r="A2464" s="22">
        <v>44704</v>
      </c>
      <c r="B2464">
        <v>8375.8700000000008</v>
      </c>
      <c r="C2464">
        <f t="shared" si="38"/>
        <v>3.4353241788889988</v>
      </c>
    </row>
    <row r="2465" spans="1:3" x14ac:dyDescent="0.15">
      <c r="A2465" s="22">
        <v>44705</v>
      </c>
      <c r="B2465">
        <v>8307.9699999999993</v>
      </c>
      <c r="C2465">
        <f t="shared" si="38"/>
        <v>3.4074753092495982</v>
      </c>
    </row>
    <row r="2466" spans="1:3" x14ac:dyDescent="0.15">
      <c r="A2466" s="22">
        <v>44706</v>
      </c>
      <c r="B2466">
        <v>8386.6200000000008</v>
      </c>
      <c r="C2466">
        <f t="shared" si="38"/>
        <v>3.4397332414607744</v>
      </c>
    </row>
    <row r="2467" spans="1:3" x14ac:dyDescent="0.15">
      <c r="A2467" s="22">
        <v>44707</v>
      </c>
      <c r="B2467">
        <v>8553.68</v>
      </c>
      <c r="C2467">
        <f t="shared" si="38"/>
        <v>3.5082521245529419</v>
      </c>
    </row>
    <row r="2468" spans="1:3" x14ac:dyDescent="0.15">
      <c r="A2468" s="22">
        <v>44708</v>
      </c>
      <c r="B2468">
        <v>8766.83</v>
      </c>
      <c r="C2468">
        <f t="shared" si="38"/>
        <v>3.5956746070807495</v>
      </c>
    </row>
    <row r="2469" spans="1:3" x14ac:dyDescent="0.15">
      <c r="A2469" s="22">
        <v>44712</v>
      </c>
      <c r="B2469">
        <v>8712.6</v>
      </c>
      <c r="C2469">
        <f t="shared" si="38"/>
        <v>3.5734324244512257</v>
      </c>
    </row>
    <row r="2470" spans="1:3" x14ac:dyDescent="0.15">
      <c r="A2470" s="22">
        <v>44713</v>
      </c>
      <c r="B2470">
        <v>8648.2800000000007</v>
      </c>
      <c r="C2470">
        <f t="shared" si="38"/>
        <v>3.5470518751845659</v>
      </c>
    </row>
    <row r="2471" spans="1:3" x14ac:dyDescent="0.15">
      <c r="A2471" s="22">
        <v>44714</v>
      </c>
      <c r="B2471">
        <v>8809.18</v>
      </c>
      <c r="C2471">
        <f t="shared" si="38"/>
        <v>3.6130442628867674</v>
      </c>
    </row>
    <row r="2472" spans="1:3" x14ac:dyDescent="0.15">
      <c r="A2472" s="22">
        <v>44715</v>
      </c>
      <c r="B2472">
        <v>8665.7999999999993</v>
      </c>
      <c r="C2472">
        <f t="shared" si="38"/>
        <v>3.5542376218131704</v>
      </c>
    </row>
    <row r="2473" spans="1:3" x14ac:dyDescent="0.15">
      <c r="A2473" s="22">
        <v>44718</v>
      </c>
      <c r="B2473">
        <v>8693.06</v>
      </c>
      <c r="C2473">
        <f t="shared" si="38"/>
        <v>3.5654181842044821</v>
      </c>
    </row>
    <row r="2474" spans="1:3" x14ac:dyDescent="0.15">
      <c r="A2474" s="22">
        <v>44719</v>
      </c>
      <c r="B2474">
        <v>8776.09</v>
      </c>
      <c r="C2474">
        <f t="shared" si="38"/>
        <v>3.5994725530728093</v>
      </c>
    </row>
    <row r="2475" spans="1:3" x14ac:dyDescent="0.15">
      <c r="A2475" s="22">
        <v>44720</v>
      </c>
      <c r="B2475">
        <v>8681.68</v>
      </c>
      <c r="C2475">
        <f t="shared" si="38"/>
        <v>3.5607507300587331</v>
      </c>
    </row>
    <row r="2476" spans="1:3" x14ac:dyDescent="0.15">
      <c r="A2476" s="22">
        <v>44721</v>
      </c>
      <c r="B2476">
        <v>8475.91</v>
      </c>
      <c r="C2476">
        <f t="shared" si="38"/>
        <v>3.4763551202546186</v>
      </c>
    </row>
    <row r="2477" spans="1:3" x14ac:dyDescent="0.15">
      <c r="A2477" s="22">
        <v>44722</v>
      </c>
      <c r="B2477">
        <v>8229.43</v>
      </c>
      <c r="C2477">
        <f t="shared" si="38"/>
        <v>3.3752624930275292</v>
      </c>
    </row>
    <row r="2478" spans="1:3" x14ac:dyDescent="0.15">
      <c r="A2478" s="22">
        <v>44725</v>
      </c>
      <c r="B2478">
        <v>7910.43</v>
      </c>
      <c r="C2478">
        <f t="shared" si="38"/>
        <v>3.2444261246185651</v>
      </c>
    </row>
    <row r="2479" spans="1:3" x14ac:dyDescent="0.15">
      <c r="A2479" s="22">
        <v>44726</v>
      </c>
      <c r="B2479">
        <v>7883.34</v>
      </c>
      <c r="C2479">
        <f t="shared" si="38"/>
        <v>3.2333152869376911</v>
      </c>
    </row>
    <row r="2480" spans="1:3" x14ac:dyDescent="0.15">
      <c r="A2480" s="22">
        <v>44727</v>
      </c>
      <c r="B2480">
        <v>7998.62</v>
      </c>
      <c r="C2480">
        <f t="shared" si="38"/>
        <v>3.280596843521344</v>
      </c>
    </row>
    <row r="2481" spans="1:3" x14ac:dyDescent="0.15">
      <c r="A2481" s="22">
        <v>44728</v>
      </c>
      <c r="B2481">
        <v>7739.39</v>
      </c>
      <c r="C2481">
        <f t="shared" si="38"/>
        <v>3.1742748630114517</v>
      </c>
    </row>
    <row r="2482" spans="1:3" x14ac:dyDescent="0.15">
      <c r="A2482" s="22">
        <v>44729</v>
      </c>
      <c r="B2482">
        <v>7756.59</v>
      </c>
      <c r="C2482">
        <f t="shared" si="38"/>
        <v>3.181329363126292</v>
      </c>
    </row>
    <row r="2483" spans="1:3" x14ac:dyDescent="0.15">
      <c r="A2483" s="22">
        <v>44733</v>
      </c>
      <c r="B2483">
        <v>7946.89</v>
      </c>
      <c r="C2483">
        <f t="shared" si="38"/>
        <v>3.2593800242806052</v>
      </c>
    </row>
    <row r="2484" spans="1:3" x14ac:dyDescent="0.15">
      <c r="A2484" s="22">
        <v>44734</v>
      </c>
      <c r="B2484">
        <v>7936.67</v>
      </c>
      <c r="C2484">
        <f t="shared" si="38"/>
        <v>3.2551883387472524</v>
      </c>
    </row>
    <row r="2485" spans="1:3" x14ac:dyDescent="0.15">
      <c r="A2485" s="22">
        <v>44735</v>
      </c>
      <c r="B2485">
        <v>8012.68</v>
      </c>
      <c r="C2485">
        <f t="shared" si="38"/>
        <v>3.2863634872198708</v>
      </c>
    </row>
    <row r="2486" spans="1:3" x14ac:dyDescent="0.15">
      <c r="A2486" s="22">
        <v>44736</v>
      </c>
      <c r="B2486">
        <v>8257.7199999999993</v>
      </c>
      <c r="C2486">
        <f t="shared" si="38"/>
        <v>3.3868655051350198</v>
      </c>
    </row>
    <row r="2487" spans="1:3" x14ac:dyDescent="0.15">
      <c r="A2487" s="22">
        <v>44739</v>
      </c>
      <c r="B2487">
        <v>8233.42</v>
      </c>
      <c r="C2487">
        <f t="shared" si="38"/>
        <v>3.3768989729960301</v>
      </c>
    </row>
    <row r="2488" spans="1:3" x14ac:dyDescent="0.15">
      <c r="A2488" s="22">
        <v>44740</v>
      </c>
      <c r="B2488">
        <v>8067.56</v>
      </c>
      <c r="C2488">
        <f t="shared" si="38"/>
        <v>3.3088722643304789</v>
      </c>
    </row>
    <row r="2489" spans="1:3" x14ac:dyDescent="0.15">
      <c r="A2489" s="22">
        <v>44741</v>
      </c>
      <c r="B2489">
        <v>8062.72</v>
      </c>
      <c r="C2489">
        <f t="shared" si="38"/>
        <v>3.3068871608097914</v>
      </c>
    </row>
    <row r="2490" spans="1:3" x14ac:dyDescent="0.15">
      <c r="A2490" s="22">
        <v>44742</v>
      </c>
      <c r="B2490">
        <v>7993.43</v>
      </c>
      <c r="C2490">
        <f t="shared" si="38"/>
        <v>3.2784681891262268</v>
      </c>
    </row>
    <row r="2491" spans="1:3" x14ac:dyDescent="0.15">
      <c r="A2491" s="22">
        <v>44743</v>
      </c>
      <c r="B2491">
        <v>8077.89</v>
      </c>
      <c r="C2491">
        <f t="shared" si="38"/>
        <v>3.3131090658529385</v>
      </c>
    </row>
    <row r="2492" spans="1:3" x14ac:dyDescent="0.15">
      <c r="A2492" s="22">
        <v>44747</v>
      </c>
      <c r="B2492">
        <v>8092.15</v>
      </c>
      <c r="C2492">
        <f t="shared" si="38"/>
        <v>3.3189577386225677</v>
      </c>
    </row>
    <row r="2493" spans="1:3" x14ac:dyDescent="0.15">
      <c r="A2493" s="22">
        <v>44748</v>
      </c>
      <c r="B2493">
        <v>8121.21</v>
      </c>
      <c r="C2493">
        <f t="shared" si="38"/>
        <v>3.3308765626538048</v>
      </c>
    </row>
    <row r="2494" spans="1:3" x14ac:dyDescent="0.15">
      <c r="A2494" s="22">
        <v>44749</v>
      </c>
      <c r="B2494">
        <v>8243.69</v>
      </c>
      <c r="C2494">
        <f t="shared" si="38"/>
        <v>3.3811111657971589</v>
      </c>
    </row>
    <row r="2495" spans="1:3" x14ac:dyDescent="0.15">
      <c r="A2495" s="22">
        <v>44750</v>
      </c>
      <c r="B2495">
        <v>8237.5</v>
      </c>
      <c r="C2495">
        <f t="shared" si="38"/>
        <v>3.378572366046527</v>
      </c>
    </row>
    <row r="2496" spans="1:3" x14ac:dyDescent="0.15">
      <c r="A2496" s="22">
        <v>44753</v>
      </c>
      <c r="B2496">
        <v>8142.68</v>
      </c>
      <c r="C2496">
        <f t="shared" si="38"/>
        <v>3.3396823834366902</v>
      </c>
    </row>
    <row r="2497" spans="1:3" x14ac:dyDescent="0.15">
      <c r="A2497" s="22">
        <v>44754</v>
      </c>
      <c r="B2497">
        <v>8067.56</v>
      </c>
      <c r="C2497">
        <f t="shared" si="38"/>
        <v>3.3088722643304789</v>
      </c>
    </row>
    <row r="2498" spans="1:3" x14ac:dyDescent="0.15">
      <c r="A2498" s="22">
        <v>44755</v>
      </c>
      <c r="B2498">
        <v>8031.76</v>
      </c>
      <c r="C2498">
        <f t="shared" ref="C2498:C2561" si="39">(B2498 / $B$2)</f>
        <v>3.2941890606030779</v>
      </c>
    </row>
    <row r="2499" spans="1:3" x14ac:dyDescent="0.15">
      <c r="A2499" s="22">
        <v>44756</v>
      </c>
      <c r="B2499">
        <v>8008.71</v>
      </c>
      <c r="C2499">
        <f t="shared" si="39"/>
        <v>3.2847352101584804</v>
      </c>
    </row>
    <row r="2500" spans="1:3" x14ac:dyDescent="0.15">
      <c r="A2500" s="22">
        <v>44757</v>
      </c>
      <c r="B2500">
        <v>8162.5</v>
      </c>
      <c r="C2500">
        <f t="shared" si="39"/>
        <v>3.3478114643829775</v>
      </c>
    </row>
    <row r="2501" spans="1:3" x14ac:dyDescent="0.15">
      <c r="A2501" s="22">
        <v>44760</v>
      </c>
      <c r="B2501">
        <v>8094.23</v>
      </c>
      <c r="C2501">
        <f t="shared" si="39"/>
        <v>3.3198108409620368</v>
      </c>
    </row>
    <row r="2502" spans="1:3" x14ac:dyDescent="0.15">
      <c r="A2502" s="22">
        <v>44761</v>
      </c>
      <c r="B2502">
        <v>8318.2000000000007</v>
      </c>
      <c r="C2502">
        <f t="shared" si="39"/>
        <v>3.4116710962365069</v>
      </c>
    </row>
    <row r="2503" spans="1:3" x14ac:dyDescent="0.15">
      <c r="A2503" s="22">
        <v>44762</v>
      </c>
      <c r="B2503">
        <v>8367.3700000000008</v>
      </c>
      <c r="C2503">
        <f t="shared" si="39"/>
        <v>3.43183794336713</v>
      </c>
    </row>
    <row r="2504" spans="1:3" x14ac:dyDescent="0.15">
      <c r="A2504" s="22">
        <v>44763</v>
      </c>
      <c r="B2504">
        <v>8450.64</v>
      </c>
      <c r="C2504">
        <f t="shared" si="39"/>
        <v>3.4659907471207796</v>
      </c>
    </row>
    <row r="2505" spans="1:3" x14ac:dyDescent="0.15">
      <c r="A2505" s="22">
        <v>44764</v>
      </c>
      <c r="B2505">
        <v>8371.8700000000008</v>
      </c>
      <c r="C2505">
        <f t="shared" si="39"/>
        <v>3.4336835974669428</v>
      </c>
    </row>
    <row r="2506" spans="1:3" x14ac:dyDescent="0.15">
      <c r="A2506" s="22">
        <v>44767</v>
      </c>
      <c r="B2506">
        <v>8382.8799999999992</v>
      </c>
      <c r="C2506">
        <f t="shared" si="39"/>
        <v>3.4381992978311513</v>
      </c>
    </row>
    <row r="2507" spans="1:3" x14ac:dyDescent="0.15">
      <c r="A2507" s="22">
        <v>44768</v>
      </c>
      <c r="B2507">
        <v>8286.19</v>
      </c>
      <c r="C2507">
        <f t="shared" si="39"/>
        <v>3.3985423434065036</v>
      </c>
    </row>
    <row r="2508" spans="1:3" x14ac:dyDescent="0.15">
      <c r="A2508" s="22">
        <v>44769</v>
      </c>
      <c r="B2508">
        <v>8503.02</v>
      </c>
      <c r="C2508">
        <f t="shared" si="39"/>
        <v>3.487474160842603</v>
      </c>
    </row>
    <row r="2509" spans="1:3" x14ac:dyDescent="0.15">
      <c r="A2509" s="22">
        <v>44770</v>
      </c>
      <c r="B2509">
        <v>8607.24</v>
      </c>
      <c r="C2509">
        <f t="shared" si="39"/>
        <v>3.530219509794271</v>
      </c>
    </row>
    <row r="2510" spans="1:3" x14ac:dyDescent="0.15">
      <c r="A2510" s="22">
        <v>44771</v>
      </c>
      <c r="B2510">
        <v>8730.4599999999991</v>
      </c>
      <c r="C2510">
        <f t="shared" si="39"/>
        <v>3.5807576205007052</v>
      </c>
    </row>
    <row r="2511" spans="1:3" x14ac:dyDescent="0.15">
      <c r="A2511" s="22">
        <v>44774</v>
      </c>
      <c r="B2511">
        <v>8705.8700000000008</v>
      </c>
      <c r="C2511">
        <f t="shared" si="39"/>
        <v>3.5706721462086168</v>
      </c>
    </row>
    <row r="2512" spans="1:3" x14ac:dyDescent="0.15">
      <c r="A2512" s="22">
        <v>44775</v>
      </c>
      <c r="B2512">
        <v>8647.91</v>
      </c>
      <c r="C2512">
        <f t="shared" si="39"/>
        <v>3.5469001214030254</v>
      </c>
    </row>
    <row r="2513" spans="1:3" x14ac:dyDescent="0.15">
      <c r="A2513" s="22">
        <v>44776</v>
      </c>
      <c r="B2513">
        <v>8783.2800000000007</v>
      </c>
      <c r="C2513">
        <f t="shared" si="39"/>
        <v>3.6024214981789551</v>
      </c>
    </row>
    <row r="2514" spans="1:3" x14ac:dyDescent="0.15">
      <c r="A2514" s="22">
        <v>44777</v>
      </c>
      <c r="B2514">
        <v>8777.23</v>
      </c>
      <c r="C2514">
        <f t="shared" si="39"/>
        <v>3.5999401187780951</v>
      </c>
    </row>
    <row r="2515" spans="1:3" x14ac:dyDescent="0.15">
      <c r="A2515" s="22">
        <v>44778</v>
      </c>
      <c r="B2515">
        <v>8764.08</v>
      </c>
      <c r="C2515">
        <f t="shared" si="39"/>
        <v>3.5945467073530861</v>
      </c>
    </row>
    <row r="2516" spans="1:3" x14ac:dyDescent="0.15">
      <c r="A2516" s="22">
        <v>44781</v>
      </c>
      <c r="B2516">
        <v>8753.39</v>
      </c>
      <c r="C2516">
        <f t="shared" si="39"/>
        <v>3.5901622535026414</v>
      </c>
    </row>
    <row r="2517" spans="1:3" x14ac:dyDescent="0.15">
      <c r="A2517" s="22">
        <v>44782</v>
      </c>
      <c r="B2517">
        <v>8716.75</v>
      </c>
      <c r="C2517">
        <f t="shared" si="39"/>
        <v>3.5751345276766089</v>
      </c>
    </row>
    <row r="2518" spans="1:3" x14ac:dyDescent="0.15">
      <c r="A2518" s="22">
        <v>44783</v>
      </c>
      <c r="B2518">
        <v>8902.7199999999993</v>
      </c>
      <c r="C2518">
        <f t="shared" si="39"/>
        <v>3.6514092594415462</v>
      </c>
    </row>
    <row r="2519" spans="1:3" x14ac:dyDescent="0.15">
      <c r="A2519" s="22">
        <v>44784</v>
      </c>
      <c r="B2519">
        <v>8898.84</v>
      </c>
      <c r="C2519">
        <f t="shared" si="39"/>
        <v>3.6498178954621521</v>
      </c>
    </row>
    <row r="2520" spans="1:3" x14ac:dyDescent="0.15">
      <c r="A2520" s="22">
        <v>44785</v>
      </c>
      <c r="B2520">
        <v>9054.14</v>
      </c>
      <c r="C2520">
        <f t="shared" si="39"/>
        <v>3.713513469173475</v>
      </c>
    </row>
    <row r="2521" spans="1:3" x14ac:dyDescent="0.15">
      <c r="A2521" s="22">
        <v>44788</v>
      </c>
      <c r="B2521">
        <v>9090.36</v>
      </c>
      <c r="C2521">
        <f t="shared" si="39"/>
        <v>3.7283689339501924</v>
      </c>
    </row>
    <row r="2522" spans="1:3" x14ac:dyDescent="0.15">
      <c r="A2522" s="22">
        <v>44789</v>
      </c>
      <c r="B2522">
        <v>9107.8700000000008</v>
      </c>
      <c r="C2522">
        <f t="shared" si="39"/>
        <v>3.7355505791252424</v>
      </c>
    </row>
    <row r="2523" spans="1:3" x14ac:dyDescent="0.15">
      <c r="A2523" s="22">
        <v>44790</v>
      </c>
      <c r="B2523">
        <v>9043.59</v>
      </c>
      <c r="C2523">
        <f t="shared" si="39"/>
        <v>3.7091864356728026</v>
      </c>
    </row>
    <row r="2524" spans="1:3" x14ac:dyDescent="0.15">
      <c r="A2524" s="22">
        <v>44791</v>
      </c>
      <c r="B2524">
        <v>9065.49</v>
      </c>
      <c r="C2524">
        <f t="shared" si="39"/>
        <v>3.718168618958559</v>
      </c>
    </row>
    <row r="2525" spans="1:3" x14ac:dyDescent="0.15">
      <c r="A2525" s="22">
        <v>44792</v>
      </c>
      <c r="B2525">
        <v>8948.82</v>
      </c>
      <c r="C2525">
        <f t="shared" si="39"/>
        <v>3.6703169603307413</v>
      </c>
    </row>
    <row r="2526" spans="1:3" x14ac:dyDescent="0.15">
      <c r="A2526" s="22">
        <v>44795</v>
      </c>
      <c r="B2526">
        <v>8758.24</v>
      </c>
      <c r="C2526">
        <f t="shared" si="39"/>
        <v>3.5921514584768843</v>
      </c>
    </row>
    <row r="2527" spans="1:3" x14ac:dyDescent="0.15">
      <c r="A2527" s="22">
        <v>44796</v>
      </c>
      <c r="B2527">
        <v>8738.76</v>
      </c>
      <c r="C2527">
        <f t="shared" si="39"/>
        <v>3.5841618269514721</v>
      </c>
    </row>
    <row r="2528" spans="1:3" x14ac:dyDescent="0.15">
      <c r="A2528" s="22">
        <v>44797</v>
      </c>
      <c r="B2528">
        <v>8764.42</v>
      </c>
      <c r="C2528">
        <f t="shared" si="39"/>
        <v>3.5946861567739608</v>
      </c>
    </row>
    <row r="2529" spans="1:3" x14ac:dyDescent="0.15">
      <c r="A2529" s="22">
        <v>44798</v>
      </c>
      <c r="B2529">
        <v>8888.1299999999992</v>
      </c>
      <c r="C2529">
        <f t="shared" si="39"/>
        <v>3.6454252387045969</v>
      </c>
    </row>
    <row r="2530" spans="1:3" x14ac:dyDescent="0.15">
      <c r="A2530" s="22">
        <v>44799</v>
      </c>
      <c r="B2530">
        <v>8588.9500000000007</v>
      </c>
      <c r="C2530">
        <f t="shared" si="39"/>
        <v>3.5227179512419204</v>
      </c>
    </row>
    <row r="2531" spans="1:3" x14ac:dyDescent="0.15">
      <c r="A2531" s="22">
        <v>44802</v>
      </c>
      <c r="B2531">
        <v>8532.1</v>
      </c>
      <c r="C2531">
        <f t="shared" si="39"/>
        <v>3.4994011877809501</v>
      </c>
    </row>
    <row r="2532" spans="1:3" x14ac:dyDescent="0.15">
      <c r="A2532" s="22">
        <v>44803</v>
      </c>
      <c r="B2532">
        <v>8438.69</v>
      </c>
      <c r="C2532">
        <f t="shared" si="39"/>
        <v>3.4610895101223877</v>
      </c>
    </row>
    <row r="2533" spans="1:3" x14ac:dyDescent="0.15">
      <c r="A2533" s="22">
        <v>44804</v>
      </c>
      <c r="B2533">
        <v>8374.42</v>
      </c>
      <c r="C2533">
        <f t="shared" si="39"/>
        <v>3.434729468123503</v>
      </c>
    </row>
    <row r="2534" spans="1:3" x14ac:dyDescent="0.15">
      <c r="A2534" s="22">
        <v>44805</v>
      </c>
      <c r="B2534">
        <v>8400.9599999999991</v>
      </c>
      <c r="C2534">
        <f t="shared" si="39"/>
        <v>3.4456147258588441</v>
      </c>
    </row>
    <row r="2535" spans="1:3" x14ac:dyDescent="0.15">
      <c r="A2535" s="22">
        <v>44806</v>
      </c>
      <c r="B2535">
        <v>8311.42</v>
      </c>
      <c r="C2535">
        <f t="shared" si="39"/>
        <v>3.4088903107261217</v>
      </c>
    </row>
    <row r="2536" spans="1:3" x14ac:dyDescent="0.15">
      <c r="A2536" s="22">
        <v>44810</v>
      </c>
      <c r="B2536">
        <v>8277.81</v>
      </c>
      <c r="C2536">
        <f t="shared" si="39"/>
        <v>3.3951053253272958</v>
      </c>
    </row>
    <row r="2537" spans="1:3" x14ac:dyDescent="0.15">
      <c r="A2537" s="22">
        <v>44811</v>
      </c>
      <c r="B2537">
        <v>8429.8700000000008</v>
      </c>
      <c r="C2537">
        <f t="shared" si="39"/>
        <v>3.4574720280867544</v>
      </c>
    </row>
    <row r="2538" spans="1:3" x14ac:dyDescent="0.15">
      <c r="A2538" s="22">
        <v>44812</v>
      </c>
      <c r="B2538">
        <v>8486.6299999999992</v>
      </c>
      <c r="C2538">
        <f t="shared" si="39"/>
        <v>3.4807518784657283</v>
      </c>
    </row>
    <row r="2539" spans="1:3" x14ac:dyDescent="0.15">
      <c r="A2539" s="22">
        <v>44813</v>
      </c>
      <c r="B2539">
        <v>8616.98</v>
      </c>
      <c r="C2539">
        <f t="shared" si="39"/>
        <v>3.5342143255569773</v>
      </c>
    </row>
    <row r="2540" spans="1:3" x14ac:dyDescent="0.15">
      <c r="A2540" s="22">
        <v>44816</v>
      </c>
      <c r="B2540">
        <v>8708.17</v>
      </c>
      <c r="C2540">
        <f t="shared" si="39"/>
        <v>3.5716154805262987</v>
      </c>
    </row>
    <row r="2541" spans="1:3" x14ac:dyDescent="0.15">
      <c r="A2541" s="22">
        <v>44817</v>
      </c>
      <c r="B2541">
        <v>8331.9</v>
      </c>
      <c r="C2541">
        <f t="shared" si="39"/>
        <v>3.4172900876070478</v>
      </c>
    </row>
    <row r="2542" spans="1:3" x14ac:dyDescent="0.15">
      <c r="A2542" s="22">
        <v>44818</v>
      </c>
      <c r="B2542">
        <v>8362.4</v>
      </c>
      <c r="C2542">
        <f t="shared" si="39"/>
        <v>3.4297995209502248</v>
      </c>
    </row>
    <row r="2543" spans="1:3" x14ac:dyDescent="0.15">
      <c r="A2543" s="22">
        <v>44819</v>
      </c>
      <c r="B2543">
        <v>8268.6</v>
      </c>
      <c r="C2543">
        <f t="shared" si="39"/>
        <v>3.3913278866030123</v>
      </c>
    </row>
    <row r="2544" spans="1:3" x14ac:dyDescent="0.15">
      <c r="A2544" s="22">
        <v>44820</v>
      </c>
      <c r="B2544">
        <v>8209.35</v>
      </c>
      <c r="C2544">
        <f t="shared" si="39"/>
        <v>3.3670267742888083</v>
      </c>
    </row>
    <row r="2545" spans="1:3" x14ac:dyDescent="0.15">
      <c r="A2545" s="22">
        <v>44823</v>
      </c>
      <c r="B2545">
        <v>8265.73</v>
      </c>
      <c r="C2545">
        <f t="shared" si="39"/>
        <v>3.3901507694326871</v>
      </c>
    </row>
    <row r="2546" spans="1:3" x14ac:dyDescent="0.15">
      <c r="A2546" s="22">
        <v>44824</v>
      </c>
      <c r="B2546">
        <v>8172.64</v>
      </c>
      <c r="C2546">
        <f t="shared" si="39"/>
        <v>3.3519703382878894</v>
      </c>
    </row>
    <row r="2547" spans="1:3" x14ac:dyDescent="0.15">
      <c r="A2547" s="22">
        <v>44825</v>
      </c>
      <c r="B2547">
        <v>8033.29</v>
      </c>
      <c r="C2547">
        <f t="shared" si="39"/>
        <v>3.2948165829970142</v>
      </c>
    </row>
    <row r="2548" spans="1:3" x14ac:dyDescent="0.15">
      <c r="A2548" s="22">
        <v>44826</v>
      </c>
      <c r="B2548">
        <v>7965.96</v>
      </c>
      <c r="C2548">
        <f t="shared" si="39"/>
        <v>3.2672014962102569</v>
      </c>
    </row>
    <row r="2549" spans="1:3" x14ac:dyDescent="0.15">
      <c r="A2549" s="22">
        <v>44827</v>
      </c>
      <c r="B2549">
        <v>7828.87</v>
      </c>
      <c r="C2549">
        <f t="shared" si="39"/>
        <v>3.2109746694228436</v>
      </c>
    </row>
    <row r="2550" spans="1:3" x14ac:dyDescent="0.15">
      <c r="A2550" s="22">
        <v>44830</v>
      </c>
      <c r="B2550">
        <v>7747.93</v>
      </c>
      <c r="C2550">
        <f t="shared" si="39"/>
        <v>3.1777775043475409</v>
      </c>
    </row>
    <row r="2551" spans="1:3" x14ac:dyDescent="0.15">
      <c r="A2551" s="22">
        <v>44831</v>
      </c>
      <c r="B2551">
        <v>7731.99</v>
      </c>
      <c r="C2551">
        <f t="shared" si="39"/>
        <v>3.1712397873806477</v>
      </c>
    </row>
    <row r="2552" spans="1:3" x14ac:dyDescent="0.15">
      <c r="A2552" s="22">
        <v>44832</v>
      </c>
      <c r="B2552">
        <v>7884.55</v>
      </c>
      <c r="C2552">
        <f t="shared" si="39"/>
        <v>3.2338115628178628</v>
      </c>
    </row>
    <row r="2553" spans="1:3" x14ac:dyDescent="0.15">
      <c r="A2553" s="22">
        <v>44833</v>
      </c>
      <c r="B2553">
        <v>7719.09</v>
      </c>
      <c r="C2553">
        <f t="shared" si="39"/>
        <v>3.1659489122945175</v>
      </c>
    </row>
    <row r="2554" spans="1:3" x14ac:dyDescent="0.15">
      <c r="A2554" s="22">
        <v>44834</v>
      </c>
      <c r="B2554">
        <v>7603.14</v>
      </c>
      <c r="C2554">
        <f t="shared" si="39"/>
        <v>3.1183925583226699</v>
      </c>
    </row>
    <row r="2555" spans="1:3" x14ac:dyDescent="0.15">
      <c r="A2555" s="22">
        <v>44837</v>
      </c>
      <c r="B2555">
        <v>7800</v>
      </c>
      <c r="C2555">
        <f t="shared" si="39"/>
        <v>3.1991337730091547</v>
      </c>
    </row>
    <row r="2556" spans="1:3" x14ac:dyDescent="0.15">
      <c r="A2556" s="22">
        <v>44838</v>
      </c>
      <c r="B2556">
        <v>8039.25</v>
      </c>
      <c r="C2556">
        <f t="shared" si="39"/>
        <v>3.2972610493158778</v>
      </c>
    </row>
    <row r="2557" spans="1:3" x14ac:dyDescent="0.15">
      <c r="A2557" s="22">
        <v>44839</v>
      </c>
      <c r="B2557">
        <v>8023.81</v>
      </c>
      <c r="C2557">
        <f t="shared" si="39"/>
        <v>3.290928405026742</v>
      </c>
    </row>
    <row r="2558" spans="1:3" x14ac:dyDescent="0.15">
      <c r="A2558" s="22">
        <v>44840</v>
      </c>
      <c r="B2558">
        <v>7943.63</v>
      </c>
      <c r="C2558">
        <f t="shared" si="39"/>
        <v>3.2580429504216295</v>
      </c>
    </row>
    <row r="2559" spans="1:3" x14ac:dyDescent="0.15">
      <c r="A2559" s="22">
        <v>44841</v>
      </c>
      <c r="B2559">
        <v>7721.44</v>
      </c>
      <c r="C2559">
        <f t="shared" si="39"/>
        <v>3.1669127538799753</v>
      </c>
    </row>
    <row r="2560" spans="1:3" x14ac:dyDescent="0.15">
      <c r="A2560" s="22">
        <v>44844</v>
      </c>
      <c r="B2560">
        <v>7663.58</v>
      </c>
      <c r="C2560">
        <f t="shared" si="39"/>
        <v>3.1431817436099356</v>
      </c>
    </row>
    <row r="2561" spans="1:3" x14ac:dyDescent="0.15">
      <c r="A2561" s="22">
        <v>44845</v>
      </c>
      <c r="B2561">
        <v>7613.75</v>
      </c>
      <c r="C2561">
        <f t="shared" si="39"/>
        <v>3.1227442005446733</v>
      </c>
    </row>
    <row r="2562" spans="1:3" x14ac:dyDescent="0.15">
      <c r="A2562" s="22">
        <v>44846</v>
      </c>
      <c r="B2562">
        <v>7588.9</v>
      </c>
      <c r="C2562">
        <f t="shared" ref="C2562:C2625" si="40">(B2562 / $B$2)</f>
        <v>3.1125520884601503</v>
      </c>
    </row>
    <row r="2563" spans="1:3" x14ac:dyDescent="0.15">
      <c r="A2563" s="22">
        <v>44847</v>
      </c>
      <c r="B2563">
        <v>7786.96</v>
      </c>
      <c r="C2563">
        <f t="shared" si="40"/>
        <v>3.1937854775732522</v>
      </c>
    </row>
    <row r="2564" spans="1:3" x14ac:dyDescent="0.15">
      <c r="A2564" s="22">
        <v>44848</v>
      </c>
      <c r="B2564">
        <v>7602.99</v>
      </c>
      <c r="C2564">
        <f t="shared" si="40"/>
        <v>3.1183310365193426</v>
      </c>
    </row>
    <row r="2565" spans="1:3" x14ac:dyDescent="0.15">
      <c r="A2565" s="22">
        <v>44851</v>
      </c>
      <c r="B2565">
        <v>7804.33</v>
      </c>
      <c r="C2565">
        <f t="shared" si="40"/>
        <v>3.2009097023985302</v>
      </c>
    </row>
    <row r="2566" spans="1:3" x14ac:dyDescent="0.15">
      <c r="A2566" s="22">
        <v>44852</v>
      </c>
      <c r="B2566">
        <v>7893.68</v>
      </c>
      <c r="C2566">
        <f t="shared" si="40"/>
        <v>3.2375561899137058</v>
      </c>
    </row>
    <row r="2567" spans="1:3" x14ac:dyDescent="0.15">
      <c r="A2567" s="22">
        <v>44853</v>
      </c>
      <c r="B2567">
        <v>7840.99</v>
      </c>
      <c r="C2567">
        <f t="shared" si="40"/>
        <v>3.2159456311316732</v>
      </c>
    </row>
    <row r="2568" spans="1:3" x14ac:dyDescent="0.15">
      <c r="A2568" s="22">
        <v>44854</v>
      </c>
      <c r="B2568">
        <v>7779.53</v>
      </c>
      <c r="C2568">
        <f t="shared" si="40"/>
        <v>3.1907380975817832</v>
      </c>
    </row>
    <row r="2569" spans="1:3" x14ac:dyDescent="0.15">
      <c r="A2569" s="22">
        <v>44855</v>
      </c>
      <c r="B2569">
        <v>7964.25</v>
      </c>
      <c r="C2569">
        <f t="shared" si="40"/>
        <v>3.2665001476523283</v>
      </c>
    </row>
    <row r="2570" spans="1:3" x14ac:dyDescent="0.15">
      <c r="A2570" s="22">
        <v>44858</v>
      </c>
      <c r="B2570">
        <v>8058.88</v>
      </c>
      <c r="C2570">
        <f t="shared" si="40"/>
        <v>3.3053122026446173</v>
      </c>
    </row>
    <row r="2571" spans="1:3" x14ac:dyDescent="0.15">
      <c r="A2571" s="22">
        <v>44859</v>
      </c>
      <c r="B2571">
        <v>8190.02</v>
      </c>
      <c r="C2571">
        <f t="shared" si="40"/>
        <v>3.3590986645667229</v>
      </c>
    </row>
    <row r="2572" spans="1:3" x14ac:dyDescent="0.15">
      <c r="A2572" s="22">
        <v>44860</v>
      </c>
      <c r="B2572">
        <v>8129.62</v>
      </c>
      <c r="C2572">
        <f t="shared" si="40"/>
        <v>3.3343258850936772</v>
      </c>
    </row>
    <row r="2573" spans="1:3" x14ac:dyDescent="0.15">
      <c r="A2573" s="22">
        <v>44861</v>
      </c>
      <c r="B2573">
        <v>8080.32</v>
      </c>
      <c r="C2573">
        <f t="shared" si="40"/>
        <v>3.3141057190668373</v>
      </c>
    </row>
    <row r="2574" spans="1:3" x14ac:dyDescent="0.15">
      <c r="A2574" s="22">
        <v>44862</v>
      </c>
      <c r="B2574">
        <v>8280.11</v>
      </c>
      <c r="C2574">
        <f t="shared" si="40"/>
        <v>3.3960486596449786</v>
      </c>
    </row>
    <row r="2575" spans="1:3" x14ac:dyDescent="0.15">
      <c r="A2575" s="22">
        <v>44865</v>
      </c>
      <c r="B2575">
        <v>8218.7000000000007</v>
      </c>
      <c r="C2575">
        <f t="shared" si="40"/>
        <v>3.3708616333628645</v>
      </c>
    </row>
    <row r="2576" spans="1:3" x14ac:dyDescent="0.15">
      <c r="A2576" s="22">
        <v>44866</v>
      </c>
      <c r="B2576">
        <v>8185.07</v>
      </c>
      <c r="C2576">
        <f t="shared" si="40"/>
        <v>3.3570684450569281</v>
      </c>
    </row>
    <row r="2577" spans="1:3" x14ac:dyDescent="0.15">
      <c r="A2577" s="22">
        <v>44867</v>
      </c>
      <c r="B2577">
        <v>7980.47</v>
      </c>
      <c r="C2577">
        <f t="shared" si="40"/>
        <v>3.2731527053187652</v>
      </c>
    </row>
    <row r="2578" spans="1:3" x14ac:dyDescent="0.15">
      <c r="A2578" s="22">
        <v>44868</v>
      </c>
      <c r="B2578">
        <v>7897.01</v>
      </c>
      <c r="C2578">
        <f t="shared" si="40"/>
        <v>3.2389219739475674</v>
      </c>
    </row>
    <row r="2579" spans="1:3" x14ac:dyDescent="0.15">
      <c r="A2579" s="22">
        <v>44869</v>
      </c>
      <c r="B2579">
        <v>8006.24</v>
      </c>
      <c r="C2579">
        <f t="shared" si="40"/>
        <v>3.2837221511303607</v>
      </c>
    </row>
    <row r="2580" spans="1:3" x14ac:dyDescent="0.15">
      <c r="A2580" s="22">
        <v>44872</v>
      </c>
      <c r="B2580">
        <v>8083.38</v>
      </c>
      <c r="C2580">
        <f t="shared" si="40"/>
        <v>3.3153607638547102</v>
      </c>
    </row>
    <row r="2581" spans="1:3" x14ac:dyDescent="0.15">
      <c r="A2581" s="22">
        <v>44873</v>
      </c>
      <c r="B2581">
        <v>8128.7</v>
      </c>
      <c r="C2581">
        <f t="shared" si="40"/>
        <v>3.3339485513666043</v>
      </c>
    </row>
    <row r="2582" spans="1:3" x14ac:dyDescent="0.15">
      <c r="A2582" s="22">
        <v>44874</v>
      </c>
      <c r="B2582">
        <v>7961.52</v>
      </c>
      <c r="C2582">
        <f t="shared" si="40"/>
        <v>3.265380450831775</v>
      </c>
    </row>
    <row r="2583" spans="1:3" x14ac:dyDescent="0.15">
      <c r="A2583" s="22">
        <v>44875</v>
      </c>
      <c r="B2583">
        <v>8403.48</v>
      </c>
      <c r="C2583">
        <f t="shared" si="40"/>
        <v>3.4466482921547397</v>
      </c>
    </row>
    <row r="2584" spans="1:3" x14ac:dyDescent="0.15">
      <c r="A2584" s="22">
        <v>44876</v>
      </c>
      <c r="B2584">
        <v>8481.1299999999992</v>
      </c>
      <c r="C2584">
        <f t="shared" si="40"/>
        <v>3.4784960790104011</v>
      </c>
    </row>
    <row r="2585" spans="1:3" x14ac:dyDescent="0.15">
      <c r="A2585" s="22">
        <v>44879</v>
      </c>
      <c r="B2585">
        <v>8407.25</v>
      </c>
      <c r="C2585">
        <f t="shared" si="40"/>
        <v>3.4481945401450278</v>
      </c>
    </row>
    <row r="2586" spans="1:3" x14ac:dyDescent="0.15">
      <c r="A2586" s="22">
        <v>44880</v>
      </c>
      <c r="B2586">
        <v>8481.14</v>
      </c>
      <c r="C2586">
        <f t="shared" si="40"/>
        <v>3.4785001804639566</v>
      </c>
    </row>
    <row r="2587" spans="1:3" x14ac:dyDescent="0.15">
      <c r="A2587" s="22">
        <v>44881</v>
      </c>
      <c r="B2587">
        <v>8413.09</v>
      </c>
      <c r="C2587">
        <f t="shared" si="40"/>
        <v>3.4505897890212296</v>
      </c>
    </row>
    <row r="2588" spans="1:3" x14ac:dyDescent="0.15">
      <c r="A2588" s="22">
        <v>44882</v>
      </c>
      <c r="B2588">
        <v>8388.84</v>
      </c>
      <c r="C2588">
        <f t="shared" si="40"/>
        <v>3.4406437641500149</v>
      </c>
    </row>
    <row r="2589" spans="1:3" x14ac:dyDescent="0.15">
      <c r="A2589" s="22">
        <v>44883</v>
      </c>
      <c r="B2589">
        <v>8429.01</v>
      </c>
      <c r="C2589">
        <f t="shared" si="40"/>
        <v>3.4571193030810123</v>
      </c>
    </row>
    <row r="2590" spans="1:3" x14ac:dyDescent="0.15">
      <c r="A2590" s="22">
        <v>44886</v>
      </c>
      <c r="B2590">
        <v>8397.23</v>
      </c>
      <c r="C2590">
        <f t="shared" si="40"/>
        <v>3.4440848836827773</v>
      </c>
    </row>
    <row r="2591" spans="1:3" x14ac:dyDescent="0.15">
      <c r="A2591" s="22">
        <v>44887</v>
      </c>
      <c r="B2591">
        <v>8511.48</v>
      </c>
      <c r="C2591">
        <f t="shared" si="40"/>
        <v>3.4909439905502508</v>
      </c>
    </row>
    <row r="2592" spans="1:3" x14ac:dyDescent="0.15">
      <c r="A2592" s="22">
        <v>44888</v>
      </c>
      <c r="B2592">
        <v>8562.27</v>
      </c>
      <c r="C2592">
        <f t="shared" si="40"/>
        <v>3.511775273156807</v>
      </c>
    </row>
    <row r="2593" spans="1:3" x14ac:dyDescent="0.15">
      <c r="A2593" s="22">
        <v>44890</v>
      </c>
      <c r="B2593">
        <v>8560.09</v>
      </c>
      <c r="C2593">
        <f t="shared" si="40"/>
        <v>3.5108811562817865</v>
      </c>
    </row>
    <row r="2594" spans="1:3" x14ac:dyDescent="0.15">
      <c r="A2594" s="22">
        <v>44893</v>
      </c>
      <c r="B2594">
        <v>8427.9500000000007</v>
      </c>
      <c r="C2594">
        <f t="shared" si="40"/>
        <v>3.4566845490041676</v>
      </c>
    </row>
    <row r="2595" spans="1:3" x14ac:dyDescent="0.15">
      <c r="A2595" s="22">
        <v>44894</v>
      </c>
      <c r="B2595">
        <v>8415.27</v>
      </c>
      <c r="C2595">
        <f t="shared" si="40"/>
        <v>3.4514839058962501</v>
      </c>
    </row>
    <row r="2596" spans="1:3" x14ac:dyDescent="0.15">
      <c r="A2596" s="22">
        <v>44895</v>
      </c>
      <c r="B2596">
        <v>8678</v>
      </c>
      <c r="C2596">
        <f t="shared" si="40"/>
        <v>3.5592413951504414</v>
      </c>
    </row>
    <row r="2597" spans="1:3" x14ac:dyDescent="0.15">
      <c r="A2597" s="22">
        <v>44896</v>
      </c>
      <c r="B2597">
        <v>8671.9</v>
      </c>
      <c r="C2597">
        <f t="shared" si="40"/>
        <v>3.5567395084818059</v>
      </c>
    </row>
    <row r="2598" spans="1:3" x14ac:dyDescent="0.15">
      <c r="A2598" s="22">
        <v>44897</v>
      </c>
      <c r="B2598">
        <v>8662.23</v>
      </c>
      <c r="C2598">
        <f t="shared" si="40"/>
        <v>3.5527734028939855</v>
      </c>
    </row>
    <row r="2599" spans="1:3" x14ac:dyDescent="0.15">
      <c r="A2599" s="22">
        <v>44900</v>
      </c>
      <c r="B2599">
        <v>8507.34</v>
      </c>
      <c r="C2599">
        <f t="shared" si="40"/>
        <v>3.4892459887784235</v>
      </c>
    </row>
    <row r="2600" spans="1:3" x14ac:dyDescent="0.15">
      <c r="A2600" s="22">
        <v>44901</v>
      </c>
      <c r="B2600">
        <v>8385.16</v>
      </c>
      <c r="C2600">
        <f t="shared" si="40"/>
        <v>3.4391344292417236</v>
      </c>
    </row>
    <row r="2601" spans="1:3" x14ac:dyDescent="0.15">
      <c r="A2601" s="22">
        <v>44902</v>
      </c>
      <c r="B2601">
        <v>8369.74</v>
      </c>
      <c r="C2601">
        <f t="shared" si="40"/>
        <v>3.4328099878596974</v>
      </c>
    </row>
    <row r="2602" spans="1:3" x14ac:dyDescent="0.15">
      <c r="A2602" s="22">
        <v>44903</v>
      </c>
      <c r="B2602">
        <v>8433.9</v>
      </c>
      <c r="C2602">
        <f t="shared" si="40"/>
        <v>3.4591249138694753</v>
      </c>
    </row>
    <row r="2603" spans="1:3" x14ac:dyDescent="0.15">
      <c r="A2603" s="22">
        <v>44904</v>
      </c>
      <c r="B2603">
        <v>8372.26</v>
      </c>
      <c r="C2603">
        <f t="shared" si="40"/>
        <v>3.4338435541555929</v>
      </c>
    </row>
    <row r="2604" spans="1:3" x14ac:dyDescent="0.15">
      <c r="A2604" s="22">
        <v>44907</v>
      </c>
      <c r="B2604">
        <v>8491.86</v>
      </c>
      <c r="C2604">
        <f t="shared" si="40"/>
        <v>3.4828969386750668</v>
      </c>
    </row>
    <row r="2605" spans="1:3" x14ac:dyDescent="0.15">
      <c r="A2605" s="22">
        <v>44908</v>
      </c>
      <c r="B2605">
        <v>8554.1</v>
      </c>
      <c r="C2605">
        <f t="shared" si="40"/>
        <v>3.5084243856022579</v>
      </c>
    </row>
    <row r="2606" spans="1:3" x14ac:dyDescent="0.15">
      <c r="A2606" s="22">
        <v>44909</v>
      </c>
      <c r="B2606">
        <v>8503.9699999999993</v>
      </c>
      <c r="C2606">
        <f t="shared" si="40"/>
        <v>3.4878637989303409</v>
      </c>
    </row>
    <row r="2607" spans="1:3" x14ac:dyDescent="0.15">
      <c r="A2607" s="22">
        <v>44910</v>
      </c>
      <c r="B2607">
        <v>8292.64</v>
      </c>
      <c r="C2607">
        <f t="shared" si="40"/>
        <v>3.4011877809495683</v>
      </c>
    </row>
    <row r="2608" spans="1:3" x14ac:dyDescent="0.15">
      <c r="A2608" s="22">
        <v>44911</v>
      </c>
      <c r="B2608">
        <v>8200.9</v>
      </c>
      <c r="C2608">
        <f t="shared" si="40"/>
        <v>3.363561046034715</v>
      </c>
    </row>
    <row r="2609" spans="1:3" x14ac:dyDescent="0.15">
      <c r="A2609" s="22">
        <v>44914</v>
      </c>
      <c r="B2609">
        <v>8127.57</v>
      </c>
      <c r="C2609">
        <f t="shared" si="40"/>
        <v>3.3334850871148736</v>
      </c>
    </row>
    <row r="2610" spans="1:3" x14ac:dyDescent="0.15">
      <c r="A2610" s="22">
        <v>44915</v>
      </c>
      <c r="B2610">
        <v>8136.3</v>
      </c>
      <c r="C2610">
        <f t="shared" si="40"/>
        <v>3.337065656068511</v>
      </c>
    </row>
    <row r="2611" spans="1:3" x14ac:dyDescent="0.15">
      <c r="A2611" s="22">
        <v>44916</v>
      </c>
      <c r="B2611">
        <v>8258.43</v>
      </c>
      <c r="C2611">
        <f t="shared" si="40"/>
        <v>3.387156708337435</v>
      </c>
    </row>
    <row r="2612" spans="1:3" x14ac:dyDescent="0.15">
      <c r="A2612" s="22">
        <v>44917</v>
      </c>
      <c r="B2612">
        <v>8139.07</v>
      </c>
      <c r="C2612">
        <f t="shared" si="40"/>
        <v>3.3382017587032844</v>
      </c>
    </row>
    <row r="2613" spans="1:3" x14ac:dyDescent="0.15">
      <c r="A2613" s="22">
        <v>44918</v>
      </c>
      <c r="B2613">
        <v>8187.06</v>
      </c>
      <c r="C2613">
        <f t="shared" si="40"/>
        <v>3.3578846343144013</v>
      </c>
    </row>
    <row r="2614" spans="1:3" x14ac:dyDescent="0.15">
      <c r="A2614" s="22">
        <v>44922</v>
      </c>
      <c r="B2614">
        <v>8154.57</v>
      </c>
      <c r="C2614">
        <f t="shared" si="40"/>
        <v>3.3445590117137516</v>
      </c>
    </row>
    <row r="2615" spans="1:3" x14ac:dyDescent="0.15">
      <c r="A2615" s="22">
        <v>44923</v>
      </c>
      <c r="B2615">
        <v>8056.62</v>
      </c>
      <c r="C2615">
        <f t="shared" si="40"/>
        <v>3.3043852741411559</v>
      </c>
    </row>
    <row r="2616" spans="1:3" x14ac:dyDescent="0.15">
      <c r="A2616" s="22">
        <v>44924</v>
      </c>
      <c r="B2616">
        <v>8198.36</v>
      </c>
      <c r="C2616">
        <f t="shared" si="40"/>
        <v>3.3625192768317098</v>
      </c>
    </row>
    <row r="2617" spans="1:3" x14ac:dyDescent="0.15">
      <c r="A2617" s="22">
        <v>44925</v>
      </c>
      <c r="B2617">
        <v>8178.02</v>
      </c>
      <c r="C2617">
        <f t="shared" si="40"/>
        <v>3.3541769203005547</v>
      </c>
    </row>
    <row r="2618" spans="1:3" x14ac:dyDescent="0.15">
      <c r="A2618" s="22">
        <v>44929</v>
      </c>
      <c r="B2618">
        <v>8145.6</v>
      </c>
      <c r="C2618">
        <f t="shared" si="40"/>
        <v>3.3408800078747913</v>
      </c>
    </row>
    <row r="2619" spans="1:3" x14ac:dyDescent="0.15">
      <c r="A2619" s="22">
        <v>44930</v>
      </c>
      <c r="B2619">
        <v>8207.42</v>
      </c>
      <c r="C2619">
        <f t="shared" si="40"/>
        <v>3.366235193752666</v>
      </c>
    </row>
    <row r="2620" spans="1:3" x14ac:dyDescent="0.15">
      <c r="A2620" s="22">
        <v>44931</v>
      </c>
      <c r="B2620">
        <v>8113.15</v>
      </c>
      <c r="C2620">
        <f t="shared" si="40"/>
        <v>3.3275707910883616</v>
      </c>
    </row>
    <row r="2621" spans="1:3" x14ac:dyDescent="0.15">
      <c r="A2621" s="22">
        <v>44932</v>
      </c>
      <c r="B2621">
        <v>8298.61</v>
      </c>
      <c r="C2621">
        <f t="shared" si="40"/>
        <v>3.4036363487219874</v>
      </c>
    </row>
    <row r="2622" spans="1:3" x14ac:dyDescent="0.15">
      <c r="A2622" s="22">
        <v>44935</v>
      </c>
      <c r="B2622">
        <v>8293.7999999999993</v>
      </c>
      <c r="C2622">
        <f t="shared" si="40"/>
        <v>3.4016635495619645</v>
      </c>
    </row>
    <row r="2623" spans="1:3" x14ac:dyDescent="0.15">
      <c r="A2623" s="22">
        <v>44936</v>
      </c>
      <c r="B2623">
        <v>8351.68</v>
      </c>
      <c r="C2623">
        <f t="shared" si="40"/>
        <v>3.425402762739115</v>
      </c>
    </row>
    <row r="2624" spans="1:3" x14ac:dyDescent="0.15">
      <c r="A2624" s="22">
        <v>44937</v>
      </c>
      <c r="B2624">
        <v>8459.18</v>
      </c>
      <c r="C2624">
        <f t="shared" si="40"/>
        <v>3.4694933884568693</v>
      </c>
    </row>
    <row r="2625" spans="1:3" x14ac:dyDescent="0.15">
      <c r="A2625" s="22">
        <v>44938</v>
      </c>
      <c r="B2625">
        <v>8489.08</v>
      </c>
      <c r="C2625">
        <f t="shared" si="40"/>
        <v>3.4817567345867375</v>
      </c>
    </row>
    <row r="2626" spans="1:3" x14ac:dyDescent="0.15">
      <c r="A2626" s="22">
        <v>44939</v>
      </c>
      <c r="B2626">
        <v>8523.32</v>
      </c>
      <c r="C2626">
        <f t="shared" ref="C2626:C2689" si="41">(B2626 / $B$2)</f>
        <v>3.4958001115595367</v>
      </c>
    </row>
    <row r="2627" spans="1:3" x14ac:dyDescent="0.15">
      <c r="A2627" s="22">
        <v>44943</v>
      </c>
      <c r="B2627">
        <v>8506.0300000000007</v>
      </c>
      <c r="C2627">
        <f t="shared" si="41"/>
        <v>3.4887086983627</v>
      </c>
    </row>
    <row r="2628" spans="1:3" x14ac:dyDescent="0.15">
      <c r="A2628" s="22">
        <v>44944</v>
      </c>
      <c r="B2628">
        <v>8373.66</v>
      </c>
      <c r="C2628">
        <f t="shared" si="41"/>
        <v>3.4344177576533124</v>
      </c>
    </row>
    <row r="2629" spans="1:3" x14ac:dyDescent="0.15">
      <c r="A2629" s="22">
        <v>44945</v>
      </c>
      <c r="B2629">
        <v>8310.75</v>
      </c>
      <c r="C2629">
        <f t="shared" si="41"/>
        <v>3.408615513337927</v>
      </c>
    </row>
    <row r="2630" spans="1:3" x14ac:dyDescent="0.15">
      <c r="A2630" s="22">
        <v>44946</v>
      </c>
      <c r="B2630">
        <v>8468.15</v>
      </c>
      <c r="C2630">
        <f t="shared" si="41"/>
        <v>3.4731723922958295</v>
      </c>
    </row>
    <row r="2631" spans="1:3" x14ac:dyDescent="0.15">
      <c r="A2631" s="22">
        <v>44949</v>
      </c>
      <c r="B2631">
        <v>8568.77</v>
      </c>
      <c r="C2631">
        <f t="shared" si="41"/>
        <v>3.5144412179676481</v>
      </c>
    </row>
    <row r="2632" spans="1:3" x14ac:dyDescent="0.15">
      <c r="A2632" s="22">
        <v>44950</v>
      </c>
      <c r="B2632">
        <v>8562.8700000000008</v>
      </c>
      <c r="C2632">
        <f t="shared" si="41"/>
        <v>3.5120213603701158</v>
      </c>
    </row>
    <row r="2633" spans="1:3" x14ac:dyDescent="0.15">
      <c r="A2633" s="22">
        <v>44951</v>
      </c>
      <c r="B2633">
        <v>8561.4</v>
      </c>
      <c r="C2633">
        <f t="shared" si="41"/>
        <v>3.5114184466975096</v>
      </c>
    </row>
    <row r="2634" spans="1:3" x14ac:dyDescent="0.15">
      <c r="A2634" s="22">
        <v>44952</v>
      </c>
      <c r="B2634">
        <v>8656.26</v>
      </c>
      <c r="C2634">
        <f t="shared" si="41"/>
        <v>3.5503248351215673</v>
      </c>
    </row>
    <row r="2635" spans="1:3" x14ac:dyDescent="0.15">
      <c r="A2635" s="22">
        <v>44953</v>
      </c>
      <c r="B2635">
        <v>8678.01</v>
      </c>
      <c r="C2635">
        <f t="shared" si="41"/>
        <v>3.5592454966039968</v>
      </c>
    </row>
    <row r="2636" spans="1:3" x14ac:dyDescent="0.15">
      <c r="A2636" s="22">
        <v>44956</v>
      </c>
      <c r="B2636">
        <v>8566.2800000000007</v>
      </c>
      <c r="C2636">
        <f t="shared" si="41"/>
        <v>3.5134199560324184</v>
      </c>
    </row>
    <row r="2637" spans="1:3" x14ac:dyDescent="0.15">
      <c r="A2637" s="22">
        <v>44957</v>
      </c>
      <c r="B2637">
        <v>8691.8799999999992</v>
      </c>
      <c r="C2637">
        <f t="shared" si="41"/>
        <v>3.5649342126849755</v>
      </c>
    </row>
    <row r="2638" spans="1:3" x14ac:dyDescent="0.15">
      <c r="A2638" s="22">
        <v>44958</v>
      </c>
      <c r="B2638">
        <v>8782.77</v>
      </c>
      <c r="C2638">
        <f t="shared" si="41"/>
        <v>3.6022123240476427</v>
      </c>
    </row>
    <row r="2639" spans="1:3" x14ac:dyDescent="0.15">
      <c r="A2639" s="22">
        <v>44959</v>
      </c>
      <c r="B2639">
        <v>8912.35</v>
      </c>
      <c r="C2639">
        <f t="shared" si="41"/>
        <v>3.6553589592151461</v>
      </c>
    </row>
    <row r="2640" spans="1:3" x14ac:dyDescent="0.15">
      <c r="A2640" s="22">
        <v>44960</v>
      </c>
      <c r="B2640">
        <v>8820.4699999999993</v>
      </c>
      <c r="C2640">
        <f t="shared" si="41"/>
        <v>3.61767480395052</v>
      </c>
    </row>
    <row r="2641" spans="1:3" x14ac:dyDescent="0.15">
      <c r="A2641" s="22">
        <v>44963</v>
      </c>
      <c r="B2641">
        <v>8766.9</v>
      </c>
      <c r="C2641">
        <f t="shared" si="41"/>
        <v>3.5957033172556354</v>
      </c>
    </row>
    <row r="2642" spans="1:3" x14ac:dyDescent="0.15">
      <c r="A2642" s="22">
        <v>44964</v>
      </c>
      <c r="B2642">
        <v>8879.91</v>
      </c>
      <c r="C2642">
        <f t="shared" si="41"/>
        <v>3.6420538438822718</v>
      </c>
    </row>
    <row r="2643" spans="1:3" x14ac:dyDescent="0.15">
      <c r="A2643" s="22">
        <v>44965</v>
      </c>
      <c r="B2643">
        <v>8781.7900000000009</v>
      </c>
      <c r="C2643">
        <f t="shared" si="41"/>
        <v>3.6018103815992393</v>
      </c>
    </row>
    <row r="2644" spans="1:3" x14ac:dyDescent="0.15">
      <c r="A2644" s="22">
        <v>44966</v>
      </c>
      <c r="B2644">
        <v>8705.58</v>
      </c>
      <c r="C2644">
        <f t="shared" si="41"/>
        <v>3.5705532040555172</v>
      </c>
    </row>
    <row r="2645" spans="1:3" x14ac:dyDescent="0.15">
      <c r="A2645" s="22">
        <v>44967</v>
      </c>
      <c r="B2645">
        <v>8726.4699999999993</v>
      </c>
      <c r="C2645">
        <f t="shared" si="41"/>
        <v>3.5791211405322048</v>
      </c>
    </row>
    <row r="2646" spans="1:3" x14ac:dyDescent="0.15">
      <c r="A2646" s="22">
        <v>44970</v>
      </c>
      <c r="B2646">
        <v>8827.7199999999993</v>
      </c>
      <c r="C2646">
        <f t="shared" si="41"/>
        <v>3.6206483577779967</v>
      </c>
    </row>
    <row r="2647" spans="1:3" x14ac:dyDescent="0.15">
      <c r="A2647" s="22">
        <v>44971</v>
      </c>
      <c r="B2647">
        <v>8826.32</v>
      </c>
      <c r="C2647">
        <f t="shared" si="41"/>
        <v>3.6200741542802772</v>
      </c>
    </row>
    <row r="2648" spans="1:3" x14ac:dyDescent="0.15">
      <c r="A2648" s="22">
        <v>44972</v>
      </c>
      <c r="B2648">
        <v>8853.02</v>
      </c>
      <c r="C2648">
        <f t="shared" si="41"/>
        <v>3.6310250352725011</v>
      </c>
    </row>
    <row r="2649" spans="1:3" x14ac:dyDescent="0.15">
      <c r="A2649" s="22">
        <v>44973</v>
      </c>
      <c r="B2649">
        <v>8731.75</v>
      </c>
      <c r="C2649">
        <f t="shared" si="41"/>
        <v>3.5812867080093187</v>
      </c>
    </row>
    <row r="2650" spans="1:3" x14ac:dyDescent="0.15">
      <c r="A2650" s="22">
        <v>44974</v>
      </c>
      <c r="B2650">
        <v>8709.2099999999991</v>
      </c>
      <c r="C2650">
        <f t="shared" si="41"/>
        <v>3.5720420316960331</v>
      </c>
    </row>
    <row r="2651" spans="1:3" x14ac:dyDescent="0.15">
      <c r="A2651" s="22">
        <v>44978</v>
      </c>
      <c r="B2651">
        <v>8534.73</v>
      </c>
      <c r="C2651">
        <f t="shared" si="41"/>
        <v>3.5004798700659512</v>
      </c>
    </row>
    <row r="2652" spans="1:3" x14ac:dyDescent="0.15">
      <c r="A2652" s="22">
        <v>44979</v>
      </c>
      <c r="B2652">
        <v>8521.4500000000007</v>
      </c>
      <c r="C2652">
        <f t="shared" si="41"/>
        <v>3.4950331397447258</v>
      </c>
    </row>
    <row r="2653" spans="1:3" x14ac:dyDescent="0.15">
      <c r="A2653" s="22">
        <v>44980</v>
      </c>
      <c r="B2653">
        <v>8567.57</v>
      </c>
      <c r="C2653">
        <f t="shared" si="41"/>
        <v>3.513949043541031</v>
      </c>
    </row>
    <row r="2654" spans="1:3" x14ac:dyDescent="0.15">
      <c r="A2654" s="22">
        <v>44981</v>
      </c>
      <c r="B2654">
        <v>8477.66</v>
      </c>
      <c r="C2654">
        <f t="shared" si="41"/>
        <v>3.4770728746267681</v>
      </c>
    </row>
    <row r="2655" spans="1:3" x14ac:dyDescent="0.15">
      <c r="A2655" s="22">
        <v>44984</v>
      </c>
      <c r="B2655">
        <v>8504.76</v>
      </c>
      <c r="C2655">
        <f t="shared" si="41"/>
        <v>3.4881878137611975</v>
      </c>
    </row>
    <row r="2656" spans="1:3" x14ac:dyDescent="0.15">
      <c r="A2656" s="22">
        <v>44985</v>
      </c>
      <c r="B2656">
        <v>8479.7999999999993</v>
      </c>
      <c r="C2656">
        <f t="shared" si="41"/>
        <v>3.4779505856875677</v>
      </c>
    </row>
    <row r="2657" spans="1:3" x14ac:dyDescent="0.15">
      <c r="A2657" s="22">
        <v>44986</v>
      </c>
      <c r="B2657">
        <v>8440.25</v>
      </c>
      <c r="C2657">
        <f t="shared" si="41"/>
        <v>3.4617293368769895</v>
      </c>
    </row>
    <row r="2658" spans="1:3" x14ac:dyDescent="0.15">
      <c r="A2658" s="22">
        <v>44987</v>
      </c>
      <c r="B2658">
        <v>8505.5499999999993</v>
      </c>
      <c r="C2658">
        <f t="shared" si="41"/>
        <v>3.4885118285920531</v>
      </c>
    </row>
    <row r="2659" spans="1:3" x14ac:dyDescent="0.15">
      <c r="A2659" s="22">
        <v>44988</v>
      </c>
      <c r="B2659">
        <v>8643.61</v>
      </c>
      <c r="C2659">
        <f t="shared" si="41"/>
        <v>3.5451364963743157</v>
      </c>
    </row>
    <row r="2660" spans="1:3" x14ac:dyDescent="0.15">
      <c r="A2660" s="22">
        <v>44991</v>
      </c>
      <c r="B2660">
        <v>8649.8799999999992</v>
      </c>
      <c r="C2660">
        <f t="shared" si="41"/>
        <v>3.5477081077533876</v>
      </c>
    </row>
    <row r="2661" spans="1:3" x14ac:dyDescent="0.15">
      <c r="A2661" s="22">
        <v>44992</v>
      </c>
      <c r="B2661">
        <v>8517.5400000000009</v>
      </c>
      <c r="C2661">
        <f t="shared" si="41"/>
        <v>3.4934294714046663</v>
      </c>
    </row>
    <row r="2662" spans="1:3" x14ac:dyDescent="0.15">
      <c r="A2662" s="22">
        <v>44993</v>
      </c>
      <c r="B2662">
        <v>8530.33</v>
      </c>
      <c r="C2662">
        <f t="shared" si="41"/>
        <v>3.4986752305016902</v>
      </c>
    </row>
    <row r="2663" spans="1:3" x14ac:dyDescent="0.15">
      <c r="A2663" s="22">
        <v>44994</v>
      </c>
      <c r="B2663">
        <v>8374.25</v>
      </c>
      <c r="C2663">
        <f t="shared" si="41"/>
        <v>3.4346597434130657</v>
      </c>
    </row>
    <row r="2664" spans="1:3" x14ac:dyDescent="0.15">
      <c r="A2664" s="22">
        <v>44995</v>
      </c>
      <c r="B2664">
        <v>8253.65</v>
      </c>
      <c r="C2664">
        <f t="shared" si="41"/>
        <v>3.385196213538078</v>
      </c>
    </row>
    <row r="2665" spans="1:3" x14ac:dyDescent="0.15">
      <c r="A2665" s="22">
        <v>44998</v>
      </c>
      <c r="B2665">
        <v>8241.39</v>
      </c>
      <c r="C2665">
        <f t="shared" si="41"/>
        <v>3.3801678314794761</v>
      </c>
    </row>
    <row r="2666" spans="1:3" x14ac:dyDescent="0.15">
      <c r="A2666" s="22">
        <v>44999</v>
      </c>
      <c r="B2666">
        <v>8379.16</v>
      </c>
      <c r="C2666">
        <f t="shared" si="41"/>
        <v>3.4366735571086395</v>
      </c>
    </row>
    <row r="2667" spans="1:3" x14ac:dyDescent="0.15">
      <c r="A2667" s="22">
        <v>45000</v>
      </c>
      <c r="B2667">
        <v>8320.9599999999991</v>
      </c>
      <c r="C2667">
        <f t="shared" si="41"/>
        <v>3.4128030974177248</v>
      </c>
    </row>
    <row r="2668" spans="1:3" x14ac:dyDescent="0.15">
      <c r="A2668" s="22">
        <v>45001</v>
      </c>
      <c r="B2668">
        <v>8468.33</v>
      </c>
      <c r="C2668">
        <f t="shared" si="41"/>
        <v>3.4732462184598223</v>
      </c>
    </row>
    <row r="2669" spans="1:3" x14ac:dyDescent="0.15">
      <c r="A2669" s="22">
        <v>45002</v>
      </c>
      <c r="B2669">
        <v>8375.2099999999991</v>
      </c>
      <c r="C2669">
        <f t="shared" si="41"/>
        <v>3.4350534829543591</v>
      </c>
    </row>
    <row r="2670" spans="1:3" x14ac:dyDescent="0.15">
      <c r="A2670" s="22">
        <v>45005</v>
      </c>
      <c r="B2670">
        <v>8449.98</v>
      </c>
      <c r="C2670">
        <f t="shared" si="41"/>
        <v>3.4657200511861403</v>
      </c>
    </row>
    <row r="2671" spans="1:3" x14ac:dyDescent="0.15">
      <c r="A2671" s="22">
        <v>45006</v>
      </c>
      <c r="B2671">
        <v>8560.31</v>
      </c>
      <c r="C2671">
        <f t="shared" si="41"/>
        <v>3.5109713882599993</v>
      </c>
    </row>
    <row r="2672" spans="1:3" x14ac:dyDescent="0.15">
      <c r="A2672" s="22">
        <v>45007</v>
      </c>
      <c r="B2672">
        <v>8420.02</v>
      </c>
      <c r="C2672">
        <f t="shared" si="41"/>
        <v>3.4534320963349416</v>
      </c>
    </row>
    <row r="2673" spans="1:3" x14ac:dyDescent="0.15">
      <c r="A2673" s="22">
        <v>45008</v>
      </c>
      <c r="B2673">
        <v>8445.8700000000008</v>
      </c>
      <c r="C2673">
        <f t="shared" si="41"/>
        <v>3.4640343537749785</v>
      </c>
    </row>
    <row r="2674" spans="1:3" x14ac:dyDescent="0.15">
      <c r="A2674" s="22">
        <v>45009</v>
      </c>
      <c r="B2674">
        <v>8493.5499999999993</v>
      </c>
      <c r="C2674">
        <f t="shared" si="41"/>
        <v>3.4835900843258849</v>
      </c>
    </row>
    <row r="2675" spans="1:3" x14ac:dyDescent="0.15">
      <c r="A2675" s="22">
        <v>45012</v>
      </c>
      <c r="B2675">
        <v>8507.5400000000009</v>
      </c>
      <c r="C2675">
        <f t="shared" si="41"/>
        <v>3.4893280178495263</v>
      </c>
    </row>
    <row r="2676" spans="1:3" x14ac:dyDescent="0.15">
      <c r="A2676" s="22">
        <v>45013</v>
      </c>
      <c r="B2676">
        <v>8494.35</v>
      </c>
      <c r="C2676">
        <f t="shared" si="41"/>
        <v>3.4839182006102964</v>
      </c>
    </row>
    <row r="2677" spans="1:3" x14ac:dyDescent="0.15">
      <c r="A2677" s="22">
        <v>45014</v>
      </c>
      <c r="B2677">
        <v>8615.2900000000009</v>
      </c>
      <c r="C2677">
        <f t="shared" si="41"/>
        <v>3.5335211799061592</v>
      </c>
    </row>
    <row r="2678" spans="1:3" x14ac:dyDescent="0.15">
      <c r="A2678" s="22">
        <v>45015</v>
      </c>
      <c r="B2678">
        <v>8665.7000000000007</v>
      </c>
      <c r="C2678">
        <f t="shared" si="41"/>
        <v>3.5541966072776199</v>
      </c>
    </row>
    <row r="2679" spans="1:3" x14ac:dyDescent="0.15">
      <c r="A2679" s="22">
        <v>45016</v>
      </c>
      <c r="B2679">
        <v>8791.1299999999992</v>
      </c>
      <c r="C2679">
        <f t="shared" si="41"/>
        <v>3.6056411392197392</v>
      </c>
    </row>
    <row r="2680" spans="1:3" x14ac:dyDescent="0.15">
      <c r="A2680" s="22">
        <v>45019</v>
      </c>
      <c r="B2680">
        <v>8823.66</v>
      </c>
      <c r="C2680">
        <f t="shared" si="41"/>
        <v>3.6189831676346098</v>
      </c>
    </row>
    <row r="2681" spans="1:3" x14ac:dyDescent="0.15">
      <c r="A2681" s="22">
        <v>45020</v>
      </c>
      <c r="B2681">
        <v>8773.31</v>
      </c>
      <c r="C2681">
        <f t="shared" si="41"/>
        <v>3.5983323489844801</v>
      </c>
    </row>
    <row r="2682" spans="1:3" x14ac:dyDescent="0.15">
      <c r="A2682" s="22">
        <v>45021</v>
      </c>
      <c r="B2682">
        <v>8752.5400000000009</v>
      </c>
      <c r="C2682">
        <f t="shared" si="41"/>
        <v>3.5898136299504548</v>
      </c>
    </row>
    <row r="2683" spans="1:3" x14ac:dyDescent="0.15">
      <c r="A2683" s="22">
        <v>45022</v>
      </c>
      <c r="B2683">
        <v>8785.7000000000007</v>
      </c>
      <c r="C2683">
        <f t="shared" si="41"/>
        <v>3.6034140499392988</v>
      </c>
    </row>
    <row r="2684" spans="1:3" x14ac:dyDescent="0.15">
      <c r="A2684" s="22">
        <v>45026</v>
      </c>
      <c r="B2684">
        <v>8794.65</v>
      </c>
      <c r="C2684">
        <f t="shared" si="41"/>
        <v>3.6070848508711486</v>
      </c>
    </row>
    <row r="2685" spans="1:3" x14ac:dyDescent="0.15">
      <c r="A2685" s="22">
        <v>45027</v>
      </c>
      <c r="B2685">
        <v>8794.2900000000009</v>
      </c>
      <c r="C2685">
        <f t="shared" si="41"/>
        <v>3.6069371985431644</v>
      </c>
    </row>
    <row r="2686" spans="1:3" x14ac:dyDescent="0.15">
      <c r="A2686" s="22">
        <v>45028</v>
      </c>
      <c r="B2686">
        <v>8758.11</v>
      </c>
      <c r="C2686">
        <f t="shared" si="41"/>
        <v>3.5920981395806679</v>
      </c>
    </row>
    <row r="2687" spans="1:3" x14ac:dyDescent="0.15">
      <c r="A2687" s="22">
        <v>45029</v>
      </c>
      <c r="B2687">
        <v>8875.65</v>
      </c>
      <c r="C2687">
        <f t="shared" si="41"/>
        <v>3.6403066246677822</v>
      </c>
    </row>
    <row r="2688" spans="1:3" x14ac:dyDescent="0.15">
      <c r="A2688" s="22">
        <v>45030</v>
      </c>
      <c r="B2688">
        <v>8857.31</v>
      </c>
      <c r="C2688">
        <f t="shared" si="41"/>
        <v>3.6327845588476557</v>
      </c>
    </row>
    <row r="2689" spans="1:3" x14ac:dyDescent="0.15">
      <c r="A2689" s="22">
        <v>45033</v>
      </c>
      <c r="B2689">
        <v>8886.76</v>
      </c>
      <c r="C2689">
        <f t="shared" si="41"/>
        <v>3.6448633395675429</v>
      </c>
    </row>
    <row r="2690" spans="1:3" x14ac:dyDescent="0.15">
      <c r="A2690" s="22">
        <v>45034</v>
      </c>
      <c r="B2690">
        <v>8894.35</v>
      </c>
      <c r="C2690">
        <f t="shared" ref="C2690:C2753" si="42">(B2690 / $B$2)</f>
        <v>3.6479763428158942</v>
      </c>
    </row>
    <row r="2691" spans="1:3" x14ac:dyDescent="0.15">
      <c r="A2691" s="22">
        <v>45035</v>
      </c>
      <c r="B2691">
        <v>8893.6</v>
      </c>
      <c r="C2691">
        <f t="shared" si="42"/>
        <v>3.647668733799259</v>
      </c>
    </row>
    <row r="2692" spans="1:3" x14ac:dyDescent="0.15">
      <c r="A2692" s="22">
        <v>45036</v>
      </c>
      <c r="B2692">
        <v>8841.6200000000008</v>
      </c>
      <c r="C2692">
        <f t="shared" si="42"/>
        <v>3.6263493782196417</v>
      </c>
    </row>
    <row r="2693" spans="1:3" x14ac:dyDescent="0.15">
      <c r="A2693" s="22">
        <v>45037</v>
      </c>
      <c r="B2693">
        <v>8849.76</v>
      </c>
      <c r="C2693">
        <f t="shared" si="42"/>
        <v>3.6296879614135253</v>
      </c>
    </row>
    <row r="2694" spans="1:3" x14ac:dyDescent="0.15">
      <c r="A2694" s="22">
        <v>45040</v>
      </c>
      <c r="B2694">
        <v>8857.2999999999993</v>
      </c>
      <c r="C2694">
        <f t="shared" si="42"/>
        <v>3.6327804573941003</v>
      </c>
    </row>
    <row r="2695" spans="1:3" x14ac:dyDescent="0.15">
      <c r="A2695" s="22">
        <v>45041</v>
      </c>
      <c r="B2695">
        <v>8717.6299999999992</v>
      </c>
      <c r="C2695">
        <f t="shared" si="42"/>
        <v>3.5754954555894609</v>
      </c>
    </row>
    <row r="2696" spans="1:3" x14ac:dyDescent="0.15">
      <c r="A2696" s="22">
        <v>45042</v>
      </c>
      <c r="B2696">
        <v>8684.19</v>
      </c>
      <c r="C2696">
        <f t="shared" si="42"/>
        <v>3.5617801949010732</v>
      </c>
    </row>
    <row r="2697" spans="1:3" x14ac:dyDescent="0.15">
      <c r="A2697" s="22">
        <v>45043</v>
      </c>
      <c r="B2697">
        <v>8854.32</v>
      </c>
      <c r="C2697">
        <f t="shared" si="42"/>
        <v>3.6315582242346687</v>
      </c>
    </row>
    <row r="2698" spans="1:3" x14ac:dyDescent="0.15">
      <c r="A2698" s="22">
        <v>45044</v>
      </c>
      <c r="B2698">
        <v>8928.35</v>
      </c>
      <c r="C2698">
        <f t="shared" si="42"/>
        <v>3.6619212849033702</v>
      </c>
    </row>
    <row r="2699" spans="1:3" x14ac:dyDescent="0.15">
      <c r="A2699" s="22">
        <v>45047</v>
      </c>
      <c r="B2699">
        <v>8924.92</v>
      </c>
      <c r="C2699">
        <f t="shared" si="42"/>
        <v>3.6605144863339572</v>
      </c>
    </row>
    <row r="2700" spans="1:3" x14ac:dyDescent="0.15">
      <c r="A2700" s="22">
        <v>45048</v>
      </c>
      <c r="B2700">
        <v>8821.59</v>
      </c>
      <c r="C2700">
        <f t="shared" si="42"/>
        <v>3.6181341667486961</v>
      </c>
    </row>
    <row r="2701" spans="1:3" x14ac:dyDescent="0.15">
      <c r="A2701" s="22">
        <v>45049</v>
      </c>
      <c r="B2701">
        <v>8759.9500000000007</v>
      </c>
      <c r="C2701">
        <f t="shared" si="42"/>
        <v>3.5928528070348138</v>
      </c>
    </row>
    <row r="2702" spans="1:3" x14ac:dyDescent="0.15">
      <c r="A2702" s="22">
        <v>45050</v>
      </c>
      <c r="B2702">
        <v>8697.68</v>
      </c>
      <c r="C2702">
        <f t="shared" si="42"/>
        <v>3.5673130557469572</v>
      </c>
    </row>
    <row r="2703" spans="1:3" x14ac:dyDescent="0.15">
      <c r="A2703" s="22">
        <v>45051</v>
      </c>
      <c r="B2703">
        <v>8858.86</v>
      </c>
      <c r="C2703">
        <f t="shared" si="42"/>
        <v>3.6334202841487029</v>
      </c>
    </row>
    <row r="2704" spans="1:3" x14ac:dyDescent="0.15">
      <c r="A2704" s="22">
        <v>45054</v>
      </c>
      <c r="B2704">
        <v>8863.01</v>
      </c>
      <c r="C2704">
        <f t="shared" si="42"/>
        <v>3.6351223873740857</v>
      </c>
    </row>
    <row r="2705" spans="1:3" x14ac:dyDescent="0.15">
      <c r="A2705" s="22">
        <v>45055</v>
      </c>
      <c r="B2705">
        <v>8823.0499999999993</v>
      </c>
      <c r="C2705">
        <f t="shared" si="42"/>
        <v>3.618732978967746</v>
      </c>
    </row>
    <row r="2706" spans="1:3" x14ac:dyDescent="0.15">
      <c r="A2706" s="22">
        <v>45056</v>
      </c>
      <c r="B2706">
        <v>8862.85</v>
      </c>
      <c r="C2706">
        <f t="shared" si="42"/>
        <v>3.6350567641172034</v>
      </c>
    </row>
    <row r="2707" spans="1:3" x14ac:dyDescent="0.15">
      <c r="A2707" s="22">
        <v>45057</v>
      </c>
      <c r="B2707">
        <v>8849.69</v>
      </c>
      <c r="C2707">
        <f t="shared" si="42"/>
        <v>3.6296592512386394</v>
      </c>
    </row>
    <row r="2708" spans="1:3" x14ac:dyDescent="0.15">
      <c r="A2708" s="22">
        <v>45058</v>
      </c>
      <c r="B2708">
        <v>8837.68</v>
      </c>
      <c r="C2708">
        <f t="shared" si="42"/>
        <v>3.6247334055189162</v>
      </c>
    </row>
    <row r="2709" spans="1:3" x14ac:dyDescent="0.15">
      <c r="A2709" s="22">
        <v>45061</v>
      </c>
      <c r="B2709">
        <v>8865.0300000000007</v>
      </c>
      <c r="C2709">
        <f t="shared" si="42"/>
        <v>3.6359508809922243</v>
      </c>
    </row>
    <row r="2710" spans="1:3" x14ac:dyDescent="0.15">
      <c r="A2710" s="22">
        <v>45062</v>
      </c>
      <c r="B2710">
        <v>8808.9500000000007</v>
      </c>
      <c r="C2710">
        <f t="shared" si="42"/>
        <v>3.6129499294549992</v>
      </c>
    </row>
    <row r="2711" spans="1:3" x14ac:dyDescent="0.15">
      <c r="A2711" s="22">
        <v>45063</v>
      </c>
      <c r="B2711">
        <v>8915.43</v>
      </c>
      <c r="C2711">
        <f t="shared" si="42"/>
        <v>3.6566222069101291</v>
      </c>
    </row>
    <row r="2712" spans="1:3" x14ac:dyDescent="0.15">
      <c r="A2712" s="22">
        <v>45064</v>
      </c>
      <c r="B2712">
        <v>9001.25</v>
      </c>
      <c r="C2712">
        <f t="shared" si="42"/>
        <v>3.6918208813203401</v>
      </c>
    </row>
    <row r="2713" spans="1:3" x14ac:dyDescent="0.15">
      <c r="A2713" s="22">
        <v>45065</v>
      </c>
      <c r="B2713">
        <v>8988.4599999999991</v>
      </c>
      <c r="C2713">
        <f t="shared" si="42"/>
        <v>3.6865751222233158</v>
      </c>
    </row>
    <row r="2714" spans="1:3" x14ac:dyDescent="0.15">
      <c r="A2714" s="22">
        <v>45068</v>
      </c>
      <c r="B2714">
        <v>8990.89</v>
      </c>
      <c r="C2714">
        <f t="shared" si="42"/>
        <v>3.687571775437215</v>
      </c>
    </row>
    <row r="2715" spans="1:3" x14ac:dyDescent="0.15">
      <c r="A2715" s="22">
        <v>45069</v>
      </c>
      <c r="B2715">
        <v>8890.16</v>
      </c>
      <c r="C2715">
        <f t="shared" si="42"/>
        <v>3.6462578337762905</v>
      </c>
    </row>
    <row r="2716" spans="1:3" x14ac:dyDescent="0.15">
      <c r="A2716" s="22">
        <v>45070</v>
      </c>
      <c r="B2716">
        <v>8825.26</v>
      </c>
      <c r="C2716">
        <f t="shared" si="42"/>
        <v>3.6196394002034324</v>
      </c>
    </row>
    <row r="2717" spans="1:3" x14ac:dyDescent="0.15">
      <c r="A2717" s="22">
        <v>45071</v>
      </c>
      <c r="B2717">
        <v>8902.84</v>
      </c>
      <c r="C2717">
        <f t="shared" si="42"/>
        <v>3.651458476884208</v>
      </c>
    </row>
    <row r="2718" spans="1:3" x14ac:dyDescent="0.15">
      <c r="A2718" s="22">
        <v>45072</v>
      </c>
      <c r="B2718">
        <v>9019.64</v>
      </c>
      <c r="C2718">
        <f t="shared" si="42"/>
        <v>3.6993634544082421</v>
      </c>
    </row>
    <row r="2719" spans="1:3" x14ac:dyDescent="0.15">
      <c r="A2719" s="22">
        <v>45076</v>
      </c>
      <c r="B2719">
        <v>9020.39</v>
      </c>
      <c r="C2719">
        <f t="shared" si="42"/>
        <v>3.6996710634248777</v>
      </c>
    </row>
    <row r="2720" spans="1:3" x14ac:dyDescent="0.15">
      <c r="A2720" s="22">
        <v>45077</v>
      </c>
      <c r="B2720">
        <v>8967.16</v>
      </c>
      <c r="C2720">
        <f t="shared" si="42"/>
        <v>3.6778390261508682</v>
      </c>
    </row>
    <row r="2721" spans="1:3" x14ac:dyDescent="0.15">
      <c r="A2721" s="22">
        <v>45078</v>
      </c>
      <c r="B2721">
        <v>9057.17</v>
      </c>
      <c r="C2721">
        <f t="shared" si="42"/>
        <v>3.7147562096006825</v>
      </c>
    </row>
    <row r="2722" spans="1:3" x14ac:dyDescent="0.15">
      <c r="A2722" s="22">
        <v>45079</v>
      </c>
      <c r="B2722">
        <v>9189.34</v>
      </c>
      <c r="C2722">
        <f t="shared" si="42"/>
        <v>3.7689651212389674</v>
      </c>
    </row>
    <row r="2723" spans="1:3" x14ac:dyDescent="0.15">
      <c r="A2723" s="22">
        <v>45082</v>
      </c>
      <c r="B2723">
        <v>9171.09</v>
      </c>
      <c r="C2723">
        <f t="shared" si="42"/>
        <v>3.7614799685008369</v>
      </c>
    </row>
    <row r="2724" spans="1:3" x14ac:dyDescent="0.15">
      <c r="A2724" s="22">
        <v>45083</v>
      </c>
      <c r="B2724">
        <v>9192.91</v>
      </c>
      <c r="C2724">
        <f t="shared" si="42"/>
        <v>3.7704293401581523</v>
      </c>
    </row>
    <row r="2725" spans="1:3" x14ac:dyDescent="0.15">
      <c r="A2725" s="22">
        <v>45084</v>
      </c>
      <c r="B2725">
        <v>9158.14</v>
      </c>
      <c r="C2725">
        <f t="shared" si="42"/>
        <v>3.7561685861469303</v>
      </c>
    </row>
    <row r="2726" spans="1:3" x14ac:dyDescent="0.15">
      <c r="A2726" s="22">
        <v>45085</v>
      </c>
      <c r="B2726">
        <v>9215.86</v>
      </c>
      <c r="C2726">
        <f t="shared" si="42"/>
        <v>3.7798421760671985</v>
      </c>
    </row>
    <row r="2727" spans="1:3" x14ac:dyDescent="0.15">
      <c r="A2727" s="22">
        <v>45086</v>
      </c>
      <c r="B2727">
        <v>9226.7000000000007</v>
      </c>
      <c r="C2727">
        <f t="shared" si="42"/>
        <v>3.7842881517209705</v>
      </c>
    </row>
    <row r="2728" spans="1:3" x14ac:dyDescent="0.15">
      <c r="A2728" s="22">
        <v>45089</v>
      </c>
      <c r="B2728">
        <v>9312.7199999999993</v>
      </c>
      <c r="C2728">
        <f t="shared" si="42"/>
        <v>3.8195688552022835</v>
      </c>
    </row>
    <row r="2729" spans="1:3" x14ac:dyDescent="0.15">
      <c r="A2729" s="22">
        <v>45090</v>
      </c>
      <c r="B2729">
        <v>9377.65</v>
      </c>
      <c r="C2729">
        <f t="shared" si="42"/>
        <v>3.8461995931358075</v>
      </c>
    </row>
    <row r="2730" spans="1:3" x14ac:dyDescent="0.15">
      <c r="A2730" s="22">
        <v>45091</v>
      </c>
      <c r="B2730">
        <v>9387.5400000000009</v>
      </c>
      <c r="C2730">
        <f t="shared" si="42"/>
        <v>3.8502559307018411</v>
      </c>
    </row>
    <row r="2731" spans="1:3" x14ac:dyDescent="0.15">
      <c r="A2731" s="22">
        <v>45092</v>
      </c>
      <c r="B2731">
        <v>9503.5300000000007</v>
      </c>
      <c r="C2731">
        <f t="shared" si="42"/>
        <v>3.8978286904879096</v>
      </c>
    </row>
    <row r="2732" spans="1:3" x14ac:dyDescent="0.15">
      <c r="A2732" s="22">
        <v>45093</v>
      </c>
      <c r="B2732">
        <v>9468.81</v>
      </c>
      <c r="C2732">
        <f t="shared" si="42"/>
        <v>3.883588443744463</v>
      </c>
    </row>
    <row r="2733" spans="1:3" x14ac:dyDescent="0.15">
      <c r="A2733" s="22">
        <v>45097</v>
      </c>
      <c r="B2733">
        <v>9424.02</v>
      </c>
      <c r="C2733">
        <f t="shared" si="42"/>
        <v>3.8652180332709918</v>
      </c>
    </row>
    <row r="2734" spans="1:3" x14ac:dyDescent="0.15">
      <c r="A2734" s="22">
        <v>45098</v>
      </c>
      <c r="B2734">
        <v>9375.2099999999991</v>
      </c>
      <c r="C2734">
        <f t="shared" si="42"/>
        <v>3.8451988384683529</v>
      </c>
    </row>
    <row r="2735" spans="1:3" x14ac:dyDescent="0.15">
      <c r="A2735" s="22">
        <v>45099</v>
      </c>
      <c r="B2735">
        <v>9410.83</v>
      </c>
      <c r="C2735">
        <f t="shared" si="42"/>
        <v>3.8598082160317619</v>
      </c>
    </row>
    <row r="2736" spans="1:3" x14ac:dyDescent="0.15">
      <c r="A2736" s="22">
        <v>45100</v>
      </c>
      <c r="B2736">
        <v>9338.84</v>
      </c>
      <c r="C2736">
        <f t="shared" si="42"/>
        <v>3.8302818518883095</v>
      </c>
    </row>
    <row r="2737" spans="1:3" x14ac:dyDescent="0.15">
      <c r="A2737" s="22">
        <v>45103</v>
      </c>
      <c r="B2737">
        <v>9297.1200000000008</v>
      </c>
      <c r="C2737">
        <f t="shared" si="42"/>
        <v>3.8131705876562658</v>
      </c>
    </row>
    <row r="2738" spans="1:3" x14ac:dyDescent="0.15">
      <c r="A2738" s="22">
        <v>45104</v>
      </c>
      <c r="B2738">
        <v>9403.6200000000008</v>
      </c>
      <c r="C2738">
        <f t="shared" si="42"/>
        <v>3.8568510680185062</v>
      </c>
    </row>
    <row r="2739" spans="1:3" x14ac:dyDescent="0.15">
      <c r="A2739" s="22">
        <v>45105</v>
      </c>
      <c r="B2739">
        <v>9400.2999999999993</v>
      </c>
      <c r="C2739">
        <f t="shared" si="42"/>
        <v>3.8554893854381991</v>
      </c>
    </row>
    <row r="2740" spans="1:3" x14ac:dyDescent="0.15">
      <c r="A2740" s="22">
        <v>45106</v>
      </c>
      <c r="B2740">
        <v>9443.4599999999991</v>
      </c>
      <c r="C2740">
        <f t="shared" si="42"/>
        <v>3.8731912589821831</v>
      </c>
    </row>
    <row r="2741" spans="1:3" x14ac:dyDescent="0.15">
      <c r="A2741" s="22">
        <v>45107</v>
      </c>
      <c r="B2741">
        <v>9559.67</v>
      </c>
      <c r="C2741">
        <f t="shared" si="42"/>
        <v>3.9208542507464648</v>
      </c>
    </row>
    <row r="2742" spans="1:3" x14ac:dyDescent="0.15">
      <c r="A2742" s="22">
        <v>45110</v>
      </c>
      <c r="B2742">
        <v>9571.35</v>
      </c>
      <c r="C2742">
        <f t="shared" si="42"/>
        <v>3.9256447484988684</v>
      </c>
    </row>
    <row r="2743" spans="1:3" x14ac:dyDescent="0.15">
      <c r="A2743" s="22">
        <v>45112</v>
      </c>
      <c r="B2743">
        <v>9553.69</v>
      </c>
      <c r="C2743">
        <f t="shared" si="42"/>
        <v>3.9184015815204911</v>
      </c>
    </row>
    <row r="2744" spans="1:3" x14ac:dyDescent="0.15">
      <c r="A2744" s="22">
        <v>45113</v>
      </c>
      <c r="B2744">
        <v>9478.73</v>
      </c>
      <c r="C2744">
        <f t="shared" si="42"/>
        <v>3.8876570856711621</v>
      </c>
    </row>
    <row r="2745" spans="1:3" x14ac:dyDescent="0.15">
      <c r="A2745" s="22">
        <v>45114</v>
      </c>
      <c r="B2745">
        <v>9453.1</v>
      </c>
      <c r="C2745">
        <f t="shared" si="42"/>
        <v>3.8771450602093385</v>
      </c>
    </row>
    <row r="2746" spans="1:3" x14ac:dyDescent="0.15">
      <c r="A2746" s="22">
        <v>45117</v>
      </c>
      <c r="B2746">
        <v>9475.9</v>
      </c>
      <c r="C2746">
        <f t="shared" si="42"/>
        <v>3.8864963743150573</v>
      </c>
    </row>
    <row r="2747" spans="1:3" x14ac:dyDescent="0.15">
      <c r="A2747" s="22">
        <v>45118</v>
      </c>
      <c r="B2747">
        <v>9539.9500000000007</v>
      </c>
      <c r="C2747">
        <f t="shared" si="42"/>
        <v>3.9127661843357293</v>
      </c>
    </row>
    <row r="2748" spans="1:3" x14ac:dyDescent="0.15">
      <c r="A2748" s="22">
        <v>45119</v>
      </c>
      <c r="B2748">
        <v>9610.8700000000008</v>
      </c>
      <c r="C2748">
        <f t="shared" si="42"/>
        <v>3.9418536929487815</v>
      </c>
    </row>
    <row r="2749" spans="1:3" x14ac:dyDescent="0.15">
      <c r="A2749" s="22">
        <v>45120</v>
      </c>
      <c r="B2749">
        <v>9693.2999999999993</v>
      </c>
      <c r="C2749">
        <f t="shared" si="42"/>
        <v>3.9756619746037996</v>
      </c>
    </row>
    <row r="2750" spans="1:3" x14ac:dyDescent="0.15">
      <c r="A2750" s="22">
        <v>45121</v>
      </c>
      <c r="B2750">
        <v>9683.69</v>
      </c>
      <c r="C2750">
        <f t="shared" si="42"/>
        <v>3.9717204777373105</v>
      </c>
    </row>
    <row r="2751" spans="1:3" x14ac:dyDescent="0.15">
      <c r="A2751" s="22">
        <v>45124</v>
      </c>
      <c r="B2751">
        <v>9721.0300000000007</v>
      </c>
      <c r="C2751">
        <f t="shared" si="42"/>
        <v>3.9870353053122032</v>
      </c>
    </row>
    <row r="2752" spans="1:3" x14ac:dyDescent="0.15">
      <c r="A2752" s="22">
        <v>45125</v>
      </c>
      <c r="B2752">
        <v>9790.2000000000007</v>
      </c>
      <c r="C2752">
        <f t="shared" si="42"/>
        <v>4.0154050595531059</v>
      </c>
    </row>
    <row r="2753" spans="1:3" x14ac:dyDescent="0.15">
      <c r="A2753" s="22">
        <v>45126</v>
      </c>
      <c r="B2753">
        <v>9813.4599999999991</v>
      </c>
      <c r="C2753">
        <f t="shared" si="42"/>
        <v>4.0249450405223612</v>
      </c>
    </row>
    <row r="2754" spans="1:3" x14ac:dyDescent="0.15">
      <c r="A2754" s="22">
        <v>45127</v>
      </c>
      <c r="B2754">
        <v>9748.1</v>
      </c>
      <c r="C2754">
        <f t="shared" ref="C2754:C2817" si="43">(B2754 / $B$2)</f>
        <v>3.9981379400859667</v>
      </c>
    </row>
    <row r="2755" spans="1:3" x14ac:dyDescent="0.15">
      <c r="A2755" s="22">
        <v>45128</v>
      </c>
      <c r="B2755">
        <v>9751.26</v>
      </c>
      <c r="C2755">
        <f t="shared" si="43"/>
        <v>3.999433999409391</v>
      </c>
    </row>
    <row r="2756" spans="1:3" x14ac:dyDescent="0.15">
      <c r="A2756" s="22">
        <v>45131</v>
      </c>
      <c r="B2756">
        <v>9790.76</v>
      </c>
      <c r="C2756">
        <f t="shared" si="43"/>
        <v>4.0156347409521942</v>
      </c>
    </row>
    <row r="2757" spans="1:3" x14ac:dyDescent="0.15">
      <c r="A2757" s="22">
        <v>45132</v>
      </c>
      <c r="B2757">
        <v>9818.49</v>
      </c>
      <c r="C2757">
        <f t="shared" si="43"/>
        <v>4.0270080716605969</v>
      </c>
    </row>
    <row r="2758" spans="1:3" x14ac:dyDescent="0.15">
      <c r="A2758" s="22">
        <v>45133</v>
      </c>
      <c r="B2758">
        <v>9817.11</v>
      </c>
      <c r="C2758">
        <f t="shared" si="43"/>
        <v>4.0264420710699875</v>
      </c>
    </row>
    <row r="2759" spans="1:3" x14ac:dyDescent="0.15">
      <c r="A2759" s="22">
        <v>45134</v>
      </c>
      <c r="B2759">
        <v>9754.7199999999993</v>
      </c>
      <c r="C2759">
        <f t="shared" si="43"/>
        <v>4.0008531023394687</v>
      </c>
    </row>
    <row r="2760" spans="1:3" x14ac:dyDescent="0.15">
      <c r="A2760" s="22">
        <v>45135</v>
      </c>
      <c r="B2760">
        <v>9852.01</v>
      </c>
      <c r="C2760">
        <f t="shared" si="43"/>
        <v>4.0407561439774256</v>
      </c>
    </row>
    <row r="2761" spans="1:3" x14ac:dyDescent="0.15">
      <c r="A2761" s="22">
        <v>45138</v>
      </c>
      <c r="B2761">
        <v>9866.77</v>
      </c>
      <c r="C2761">
        <f t="shared" si="43"/>
        <v>4.0468098894248126</v>
      </c>
    </row>
    <row r="2762" spans="1:3" x14ac:dyDescent="0.15">
      <c r="A2762" s="22">
        <v>45139</v>
      </c>
      <c r="B2762">
        <v>9840.7099999999991</v>
      </c>
      <c r="C2762">
        <f t="shared" si="43"/>
        <v>4.0361215014601175</v>
      </c>
    </row>
    <row r="2763" spans="1:3" x14ac:dyDescent="0.15">
      <c r="A2763" s="22">
        <v>45140</v>
      </c>
      <c r="B2763">
        <v>9704.6299999999992</v>
      </c>
      <c r="C2763">
        <f t="shared" si="43"/>
        <v>3.9803089214817731</v>
      </c>
    </row>
    <row r="2764" spans="1:3" x14ac:dyDescent="0.15">
      <c r="A2764" s="22">
        <v>45141</v>
      </c>
      <c r="B2764">
        <v>9680.36</v>
      </c>
      <c r="C2764">
        <f t="shared" si="43"/>
        <v>3.9703546937034488</v>
      </c>
    </row>
    <row r="2765" spans="1:3" x14ac:dyDescent="0.15">
      <c r="A2765" s="22">
        <v>45142</v>
      </c>
      <c r="B2765">
        <v>9629.77</v>
      </c>
      <c r="C2765">
        <f t="shared" si="43"/>
        <v>3.9496054401679959</v>
      </c>
    </row>
    <row r="2766" spans="1:3" x14ac:dyDescent="0.15">
      <c r="A2766" s="22">
        <v>45145</v>
      </c>
      <c r="B2766">
        <v>9716.91</v>
      </c>
      <c r="C2766">
        <f t="shared" si="43"/>
        <v>3.985345506447485</v>
      </c>
    </row>
    <row r="2767" spans="1:3" x14ac:dyDescent="0.15">
      <c r="A2767" s="22">
        <v>45146</v>
      </c>
      <c r="B2767">
        <v>9676</v>
      </c>
      <c r="C2767">
        <f t="shared" si="43"/>
        <v>3.9685664599534078</v>
      </c>
    </row>
    <row r="2768" spans="1:3" x14ac:dyDescent="0.15">
      <c r="A2768" s="22">
        <v>45147</v>
      </c>
      <c r="B2768">
        <v>9608.73</v>
      </c>
      <c r="C2768">
        <f t="shared" si="43"/>
        <v>3.940975981887981</v>
      </c>
    </row>
    <row r="2769" spans="1:3" x14ac:dyDescent="0.15">
      <c r="A2769" s="22">
        <v>45148</v>
      </c>
      <c r="B2769">
        <v>9612.36</v>
      </c>
      <c r="C2769">
        <f t="shared" si="43"/>
        <v>3.9424648095284973</v>
      </c>
    </row>
    <row r="2770" spans="1:3" x14ac:dyDescent="0.15">
      <c r="A2770" s="22">
        <v>45149</v>
      </c>
      <c r="B2770">
        <v>9603.4500000000007</v>
      </c>
      <c r="C2770">
        <f t="shared" si="43"/>
        <v>3.9388104144108675</v>
      </c>
    </row>
    <row r="2771" spans="1:3" x14ac:dyDescent="0.15">
      <c r="A2771" s="22">
        <v>45152</v>
      </c>
      <c r="B2771">
        <v>9659.26</v>
      </c>
      <c r="C2771">
        <f t="shared" si="43"/>
        <v>3.9617006267021035</v>
      </c>
    </row>
    <row r="2772" spans="1:3" x14ac:dyDescent="0.15">
      <c r="A2772" s="22">
        <v>45153</v>
      </c>
      <c r="B2772">
        <v>9549.17</v>
      </c>
      <c r="C2772">
        <f t="shared" si="43"/>
        <v>3.9165477245135678</v>
      </c>
    </row>
    <row r="2773" spans="1:3" x14ac:dyDescent="0.15">
      <c r="A2773" s="22">
        <v>45154</v>
      </c>
      <c r="B2773">
        <v>9478.5400000000009</v>
      </c>
      <c r="C2773">
        <f t="shared" si="43"/>
        <v>3.8875791580536148</v>
      </c>
    </row>
    <row r="2774" spans="1:3" x14ac:dyDescent="0.15">
      <c r="A2774" s="22">
        <v>45155</v>
      </c>
      <c r="B2774">
        <v>9407.27</v>
      </c>
      <c r="C2774">
        <f t="shared" si="43"/>
        <v>3.858348098566132</v>
      </c>
    </row>
    <row r="2775" spans="1:3" x14ac:dyDescent="0.15">
      <c r="A2775" s="22">
        <v>45156</v>
      </c>
      <c r="B2775">
        <v>9406.5</v>
      </c>
      <c r="C2775">
        <f t="shared" si="43"/>
        <v>3.8580322866423864</v>
      </c>
    </row>
    <row r="2776" spans="1:3" x14ac:dyDescent="0.15">
      <c r="A2776" s="22">
        <v>45159</v>
      </c>
      <c r="B2776">
        <v>9471.39</v>
      </c>
      <c r="C2776">
        <f t="shared" si="43"/>
        <v>3.884646618761689</v>
      </c>
    </row>
    <row r="2777" spans="1:3" x14ac:dyDescent="0.15">
      <c r="A2777" s="22">
        <v>45160</v>
      </c>
      <c r="B2777">
        <v>9445.2199999999993</v>
      </c>
      <c r="C2777">
        <f t="shared" si="43"/>
        <v>3.873913114807888</v>
      </c>
    </row>
    <row r="2778" spans="1:3" x14ac:dyDescent="0.15">
      <c r="A2778" s="22">
        <v>45161</v>
      </c>
      <c r="B2778">
        <v>9549.73</v>
      </c>
      <c r="C2778">
        <f t="shared" si="43"/>
        <v>3.9167774059126557</v>
      </c>
    </row>
    <row r="2779" spans="1:3" x14ac:dyDescent="0.15">
      <c r="A2779" s="22">
        <v>45162</v>
      </c>
      <c r="B2779">
        <v>9421.4699999999993</v>
      </c>
      <c r="C2779">
        <f t="shared" si="43"/>
        <v>3.8641721626144303</v>
      </c>
    </row>
    <row r="2780" spans="1:3" x14ac:dyDescent="0.15">
      <c r="A2780" s="22">
        <v>45163</v>
      </c>
      <c r="B2780">
        <v>9485.89</v>
      </c>
      <c r="C2780">
        <f t="shared" si="43"/>
        <v>3.8905937264166419</v>
      </c>
    </row>
    <row r="2781" spans="1:3" x14ac:dyDescent="0.15">
      <c r="A2781" s="22">
        <v>45166</v>
      </c>
      <c r="B2781">
        <v>9545.44</v>
      </c>
      <c r="C2781">
        <f t="shared" si="43"/>
        <v>3.915017882337501</v>
      </c>
    </row>
    <row r="2782" spans="1:3" x14ac:dyDescent="0.15">
      <c r="A2782" s="22">
        <v>45167</v>
      </c>
      <c r="B2782">
        <v>9684.2199999999993</v>
      </c>
      <c r="C2782">
        <f t="shared" si="43"/>
        <v>3.9719378547757325</v>
      </c>
    </row>
    <row r="2783" spans="1:3" x14ac:dyDescent="0.15">
      <c r="A2783" s="22">
        <v>45168</v>
      </c>
      <c r="B2783">
        <v>9722.9599999999991</v>
      </c>
      <c r="C2783">
        <f t="shared" si="43"/>
        <v>3.9878268858483445</v>
      </c>
    </row>
    <row r="2784" spans="1:3" x14ac:dyDescent="0.15">
      <c r="A2784" s="22">
        <v>45169</v>
      </c>
      <c r="B2784">
        <v>9709.68</v>
      </c>
      <c r="C2784">
        <f t="shared" si="43"/>
        <v>3.9823801555271192</v>
      </c>
    </row>
    <row r="2785" spans="1:3" x14ac:dyDescent="0.15">
      <c r="A2785" s="22">
        <v>45170</v>
      </c>
      <c r="B2785">
        <v>9727.64</v>
      </c>
      <c r="C2785">
        <f t="shared" si="43"/>
        <v>3.9897463661121502</v>
      </c>
    </row>
    <row r="2786" spans="1:3" x14ac:dyDescent="0.15">
      <c r="A2786" s="22">
        <v>45174</v>
      </c>
      <c r="B2786">
        <v>9687.26</v>
      </c>
      <c r="C2786">
        <f t="shared" si="43"/>
        <v>3.9731846966564954</v>
      </c>
    </row>
    <row r="2787" spans="1:3" x14ac:dyDescent="0.15">
      <c r="A2787" s="22">
        <v>45175</v>
      </c>
      <c r="B2787">
        <v>9619.98</v>
      </c>
      <c r="C2787">
        <f t="shared" si="43"/>
        <v>3.9455901171375136</v>
      </c>
    </row>
    <row r="2788" spans="1:3" x14ac:dyDescent="0.15">
      <c r="A2788" s="22">
        <v>45176</v>
      </c>
      <c r="B2788">
        <v>9590.4</v>
      </c>
      <c r="C2788">
        <f t="shared" si="43"/>
        <v>3.9334580175214096</v>
      </c>
    </row>
    <row r="2789" spans="1:3" x14ac:dyDescent="0.15">
      <c r="A2789" s="22">
        <v>45177</v>
      </c>
      <c r="B2789">
        <v>9604.77</v>
      </c>
      <c r="C2789">
        <f t="shared" si="43"/>
        <v>3.939351806280146</v>
      </c>
    </row>
    <row r="2790" spans="1:3" x14ac:dyDescent="0.15">
      <c r="A2790" s="22">
        <v>45180</v>
      </c>
      <c r="B2790">
        <v>9669.36</v>
      </c>
      <c r="C2790">
        <f t="shared" si="43"/>
        <v>3.965843094792795</v>
      </c>
    </row>
    <row r="2791" spans="1:3" x14ac:dyDescent="0.15">
      <c r="A2791" s="22">
        <v>45181</v>
      </c>
      <c r="B2791">
        <v>9614.66</v>
      </c>
      <c r="C2791">
        <f t="shared" si="43"/>
        <v>3.9434081438461792</v>
      </c>
    </row>
    <row r="2792" spans="1:3" x14ac:dyDescent="0.15">
      <c r="A2792" s="22">
        <v>45182</v>
      </c>
      <c r="B2792">
        <v>9626.68</v>
      </c>
      <c r="C2792">
        <f t="shared" si="43"/>
        <v>3.9483380910194574</v>
      </c>
    </row>
    <row r="2793" spans="1:3" x14ac:dyDescent="0.15">
      <c r="A2793" s="22">
        <v>45183</v>
      </c>
      <c r="B2793">
        <v>9710.5400000000009</v>
      </c>
      <c r="C2793">
        <f t="shared" si="43"/>
        <v>3.9827328805328612</v>
      </c>
    </row>
    <row r="2794" spans="1:3" x14ac:dyDescent="0.15">
      <c r="A2794" s="22">
        <v>45184</v>
      </c>
      <c r="B2794">
        <v>9592.86</v>
      </c>
      <c r="C2794">
        <f t="shared" si="43"/>
        <v>3.9344669750959747</v>
      </c>
    </row>
    <row r="2795" spans="1:3" x14ac:dyDescent="0.15">
      <c r="A2795" s="22">
        <v>45187</v>
      </c>
      <c r="B2795">
        <v>9599.93</v>
      </c>
      <c r="C2795">
        <f t="shared" si="43"/>
        <v>3.9373667027594581</v>
      </c>
    </row>
    <row r="2796" spans="1:3" x14ac:dyDescent="0.15">
      <c r="A2796" s="22">
        <v>45188</v>
      </c>
      <c r="B2796">
        <v>9579.27</v>
      </c>
      <c r="C2796">
        <f t="shared" si="43"/>
        <v>3.9288930997145393</v>
      </c>
    </row>
    <row r="2797" spans="1:3" x14ac:dyDescent="0.15">
      <c r="A2797" s="22">
        <v>45189</v>
      </c>
      <c r="B2797">
        <v>9489.92</v>
      </c>
      <c r="C2797">
        <f t="shared" si="43"/>
        <v>3.8922466121993637</v>
      </c>
    </row>
    <row r="2798" spans="1:3" x14ac:dyDescent="0.15">
      <c r="A2798" s="22">
        <v>45190</v>
      </c>
      <c r="B2798">
        <v>9334.59</v>
      </c>
      <c r="C2798">
        <f t="shared" si="43"/>
        <v>3.8285387341273749</v>
      </c>
    </row>
    <row r="2799" spans="1:3" x14ac:dyDescent="0.15">
      <c r="A2799" s="22">
        <v>45191</v>
      </c>
      <c r="B2799">
        <v>9313.2999999999993</v>
      </c>
      <c r="C2799">
        <f t="shared" si="43"/>
        <v>3.8198067395084818</v>
      </c>
    </row>
    <row r="2800" spans="1:3" x14ac:dyDescent="0.15">
      <c r="A2800" s="22">
        <v>45194</v>
      </c>
      <c r="B2800">
        <v>9350.9</v>
      </c>
      <c r="C2800">
        <f t="shared" si="43"/>
        <v>3.8352282048758082</v>
      </c>
    </row>
    <row r="2801" spans="1:3" x14ac:dyDescent="0.15">
      <c r="A2801" s="22">
        <v>45195</v>
      </c>
      <c r="B2801">
        <v>9213.7199999999993</v>
      </c>
      <c r="C2801">
        <f t="shared" si="43"/>
        <v>3.778964465006398</v>
      </c>
    </row>
    <row r="2802" spans="1:3" x14ac:dyDescent="0.15">
      <c r="A2802" s="22">
        <v>45196</v>
      </c>
      <c r="B2802">
        <v>9216.02</v>
      </c>
      <c r="C2802">
        <f t="shared" si="43"/>
        <v>3.7799077993240808</v>
      </c>
    </row>
    <row r="2803" spans="1:3" x14ac:dyDescent="0.15">
      <c r="A2803" s="22">
        <v>45197</v>
      </c>
      <c r="B2803">
        <v>9271.5499999999993</v>
      </c>
      <c r="C2803">
        <f t="shared" si="43"/>
        <v>3.8026831709157727</v>
      </c>
    </row>
    <row r="2804" spans="1:3" x14ac:dyDescent="0.15">
      <c r="A2804" s="22">
        <v>45198</v>
      </c>
      <c r="B2804">
        <v>9246.74</v>
      </c>
      <c r="C2804">
        <f t="shared" si="43"/>
        <v>3.7925074646454706</v>
      </c>
    </row>
    <row r="2805" spans="1:3" x14ac:dyDescent="0.15">
      <c r="A2805" s="22">
        <v>45201</v>
      </c>
      <c r="B2805">
        <v>9247.51</v>
      </c>
      <c r="C2805">
        <f t="shared" si="43"/>
        <v>3.7928232765692163</v>
      </c>
    </row>
    <row r="2806" spans="1:3" x14ac:dyDescent="0.15">
      <c r="A2806" s="22">
        <v>45202</v>
      </c>
      <c r="B2806">
        <v>9121.14</v>
      </c>
      <c r="C2806">
        <f t="shared" si="43"/>
        <v>3.7409932079929127</v>
      </c>
    </row>
    <row r="2807" spans="1:3" x14ac:dyDescent="0.15">
      <c r="A2807" s="22">
        <v>45203</v>
      </c>
      <c r="B2807">
        <v>9195.14</v>
      </c>
      <c r="C2807">
        <f t="shared" si="43"/>
        <v>3.7713439643009483</v>
      </c>
    </row>
    <row r="2808" spans="1:3" x14ac:dyDescent="0.15">
      <c r="A2808" s="22">
        <v>45204</v>
      </c>
      <c r="B2808">
        <v>9184.81</v>
      </c>
      <c r="C2808">
        <f t="shared" si="43"/>
        <v>3.7671071627784887</v>
      </c>
    </row>
    <row r="2809" spans="1:3" x14ac:dyDescent="0.15">
      <c r="A2809" s="22">
        <v>45205</v>
      </c>
      <c r="B2809">
        <v>9294.82</v>
      </c>
      <c r="C2809">
        <f t="shared" si="43"/>
        <v>3.8122272533385835</v>
      </c>
    </row>
    <row r="2810" spans="1:3" x14ac:dyDescent="0.15">
      <c r="A2810" s="22">
        <v>45208</v>
      </c>
      <c r="B2810">
        <v>9353.41</v>
      </c>
      <c r="C2810">
        <f t="shared" si="43"/>
        <v>3.8362576697181483</v>
      </c>
    </row>
    <row r="2811" spans="1:3" x14ac:dyDescent="0.15">
      <c r="A2811" s="22">
        <v>45209</v>
      </c>
      <c r="B2811">
        <v>9402.31</v>
      </c>
      <c r="C2811">
        <f t="shared" si="43"/>
        <v>3.8563137776027823</v>
      </c>
    </row>
    <row r="2812" spans="1:3" x14ac:dyDescent="0.15">
      <c r="A2812" s="22">
        <v>45210</v>
      </c>
      <c r="B2812">
        <v>9443.1299999999992</v>
      </c>
      <c r="C2812">
        <f t="shared" si="43"/>
        <v>3.8730559110148635</v>
      </c>
    </row>
    <row r="2813" spans="1:3" x14ac:dyDescent="0.15">
      <c r="A2813" s="22">
        <v>45211</v>
      </c>
      <c r="B2813">
        <v>9385.16</v>
      </c>
      <c r="C2813">
        <f t="shared" si="43"/>
        <v>3.8492797847557174</v>
      </c>
    </row>
    <row r="2814" spans="1:3" x14ac:dyDescent="0.15">
      <c r="A2814" s="22">
        <v>45212</v>
      </c>
      <c r="B2814">
        <v>9338.09</v>
      </c>
      <c r="C2814">
        <f t="shared" si="43"/>
        <v>3.8299742428716739</v>
      </c>
    </row>
    <row r="2815" spans="1:3" x14ac:dyDescent="0.15">
      <c r="A2815" s="22">
        <v>45215</v>
      </c>
      <c r="B2815">
        <v>9437.31</v>
      </c>
      <c r="C2815">
        <f t="shared" si="43"/>
        <v>3.8706688650457721</v>
      </c>
    </row>
    <row r="2816" spans="1:3" x14ac:dyDescent="0.15">
      <c r="A2816" s="22">
        <v>45216</v>
      </c>
      <c r="B2816">
        <v>9436.36</v>
      </c>
      <c r="C2816">
        <f t="shared" si="43"/>
        <v>3.8702792269580346</v>
      </c>
    </row>
    <row r="2817" spans="1:3" x14ac:dyDescent="0.15">
      <c r="A2817" s="22">
        <v>45217</v>
      </c>
      <c r="B2817">
        <v>9309.92</v>
      </c>
      <c r="C2817">
        <f t="shared" si="43"/>
        <v>3.8184204482068447</v>
      </c>
    </row>
    <row r="2818" spans="1:3" x14ac:dyDescent="0.15">
      <c r="A2818" s="22">
        <v>45218</v>
      </c>
      <c r="B2818">
        <v>9231.73</v>
      </c>
      <c r="C2818">
        <f t="shared" ref="C2818:C2881" si="44">(B2818 / $B$2)</f>
        <v>3.7863511828592054</v>
      </c>
    </row>
    <row r="2819" spans="1:3" x14ac:dyDescent="0.15">
      <c r="A2819" s="22">
        <v>45219</v>
      </c>
      <c r="B2819">
        <v>9115.84</v>
      </c>
      <c r="C2819">
        <f t="shared" si="44"/>
        <v>3.7388194376086887</v>
      </c>
    </row>
    <row r="2820" spans="1:3" x14ac:dyDescent="0.15">
      <c r="A2820" s="22">
        <v>45222</v>
      </c>
      <c r="B2820">
        <v>9100.49</v>
      </c>
      <c r="C2820">
        <f t="shared" si="44"/>
        <v>3.7325237064015488</v>
      </c>
    </row>
    <row r="2821" spans="1:3" x14ac:dyDescent="0.15">
      <c r="A2821" s="22">
        <v>45223</v>
      </c>
      <c r="B2821">
        <v>9166.7999999999993</v>
      </c>
      <c r="C2821">
        <f t="shared" si="44"/>
        <v>3.7597204449256818</v>
      </c>
    </row>
    <row r="2822" spans="1:3" x14ac:dyDescent="0.15">
      <c r="A2822" s="22">
        <v>45224</v>
      </c>
      <c r="B2822">
        <v>9035.4</v>
      </c>
      <c r="C2822">
        <f t="shared" si="44"/>
        <v>3.705827345211143</v>
      </c>
    </row>
    <row r="2823" spans="1:3" x14ac:dyDescent="0.15">
      <c r="A2823" s="22">
        <v>45225</v>
      </c>
      <c r="B2823">
        <v>8928.6299999999992</v>
      </c>
      <c r="C2823">
        <f t="shared" si="44"/>
        <v>3.6620361256029135</v>
      </c>
    </row>
    <row r="2824" spans="1:3" x14ac:dyDescent="0.15">
      <c r="A2824" s="22">
        <v>45226</v>
      </c>
      <c r="B2824">
        <v>8885.94</v>
      </c>
      <c r="C2824">
        <f t="shared" si="44"/>
        <v>3.6445270203760218</v>
      </c>
    </row>
    <row r="2825" spans="1:3" x14ac:dyDescent="0.15">
      <c r="A2825" s="22">
        <v>45229</v>
      </c>
      <c r="B2825">
        <v>8993.4599999999991</v>
      </c>
      <c r="C2825">
        <f t="shared" si="44"/>
        <v>3.6886258490008856</v>
      </c>
    </row>
    <row r="2826" spans="1:3" x14ac:dyDescent="0.15">
      <c r="A2826" s="22">
        <v>45230</v>
      </c>
      <c r="B2826">
        <v>9052.31</v>
      </c>
      <c r="C2826">
        <f t="shared" si="44"/>
        <v>3.7127629031728846</v>
      </c>
    </row>
    <row r="2827" spans="1:3" x14ac:dyDescent="0.15">
      <c r="A2827" s="22">
        <v>45231</v>
      </c>
      <c r="B2827">
        <v>9147.4500000000007</v>
      </c>
      <c r="C2827">
        <f t="shared" si="44"/>
        <v>3.7517841322964864</v>
      </c>
    </row>
    <row r="2828" spans="1:3" x14ac:dyDescent="0.15">
      <c r="A2828" s="22">
        <v>45232</v>
      </c>
      <c r="B2828">
        <v>9320.56</v>
      </c>
      <c r="C2828">
        <f t="shared" si="44"/>
        <v>3.8227843947895135</v>
      </c>
    </row>
    <row r="2829" spans="1:3" x14ac:dyDescent="0.15">
      <c r="A2829" s="22">
        <v>45233</v>
      </c>
      <c r="B2829">
        <v>9408.56</v>
      </c>
      <c r="C2829">
        <f t="shared" si="44"/>
        <v>3.8588771860747451</v>
      </c>
    </row>
    <row r="2830" spans="1:3" x14ac:dyDescent="0.15">
      <c r="A2830" s="22">
        <v>45236</v>
      </c>
      <c r="B2830">
        <v>9425.34</v>
      </c>
      <c r="C2830">
        <f t="shared" si="44"/>
        <v>3.8657594251402698</v>
      </c>
    </row>
    <row r="2831" spans="1:3" x14ac:dyDescent="0.15">
      <c r="A2831" s="22">
        <v>45237</v>
      </c>
      <c r="B2831">
        <v>9452.2800000000007</v>
      </c>
      <c r="C2831">
        <f t="shared" si="44"/>
        <v>3.8768087410178174</v>
      </c>
    </row>
    <row r="2832" spans="1:3" x14ac:dyDescent="0.15">
      <c r="A2832" s="22">
        <v>45238</v>
      </c>
      <c r="B2832">
        <v>9462.25</v>
      </c>
      <c r="C2832">
        <f t="shared" si="44"/>
        <v>3.8808978902122915</v>
      </c>
    </row>
    <row r="2833" spans="1:3" x14ac:dyDescent="0.15">
      <c r="A2833" s="22">
        <v>45239</v>
      </c>
      <c r="B2833">
        <v>9387.59</v>
      </c>
      <c r="C2833">
        <f t="shared" si="44"/>
        <v>3.8502764379696166</v>
      </c>
    </row>
    <row r="2834" spans="1:3" x14ac:dyDescent="0.15">
      <c r="A2834" s="22">
        <v>45240</v>
      </c>
      <c r="B2834">
        <v>9535.6299999999992</v>
      </c>
      <c r="C2834">
        <f t="shared" si="44"/>
        <v>3.9109943563999079</v>
      </c>
    </row>
    <row r="2835" spans="1:3" x14ac:dyDescent="0.15">
      <c r="A2835" s="22">
        <v>45243</v>
      </c>
      <c r="B2835">
        <v>9528.25</v>
      </c>
      <c r="C2835">
        <f t="shared" si="44"/>
        <v>3.9079674836762153</v>
      </c>
    </row>
    <row r="2836" spans="1:3" x14ac:dyDescent="0.15">
      <c r="A2836" s="22">
        <v>45244</v>
      </c>
      <c r="B2836">
        <v>9712.01</v>
      </c>
      <c r="C2836">
        <f t="shared" si="44"/>
        <v>3.9833357942054666</v>
      </c>
    </row>
    <row r="2837" spans="1:3" x14ac:dyDescent="0.15">
      <c r="A2837" s="22">
        <v>45245</v>
      </c>
      <c r="B2837">
        <v>9729.31</v>
      </c>
      <c r="C2837">
        <f t="shared" si="44"/>
        <v>3.9904313088558587</v>
      </c>
    </row>
    <row r="2838" spans="1:3" x14ac:dyDescent="0.15">
      <c r="A2838" s="22">
        <v>45246</v>
      </c>
      <c r="B2838">
        <v>9743.2199999999993</v>
      </c>
      <c r="C2838">
        <f t="shared" si="44"/>
        <v>3.9961364307510583</v>
      </c>
    </row>
    <row r="2839" spans="1:3" x14ac:dyDescent="0.15">
      <c r="A2839" s="22">
        <v>45247</v>
      </c>
      <c r="B2839">
        <v>9755.92</v>
      </c>
      <c r="C2839">
        <f t="shared" si="44"/>
        <v>4.0013452767660862</v>
      </c>
    </row>
    <row r="2840" spans="1:3" x14ac:dyDescent="0.15">
      <c r="A2840" s="22">
        <v>45250</v>
      </c>
      <c r="B2840">
        <v>9829.02</v>
      </c>
      <c r="C2840">
        <f t="shared" si="44"/>
        <v>4.0313269022541594</v>
      </c>
    </row>
    <row r="2841" spans="1:3" x14ac:dyDescent="0.15">
      <c r="A2841" s="22">
        <v>45251</v>
      </c>
      <c r="B2841">
        <v>9809.39</v>
      </c>
      <c r="C2841">
        <f t="shared" si="44"/>
        <v>4.0232757489254194</v>
      </c>
    </row>
    <row r="2842" spans="1:3" x14ac:dyDescent="0.15">
      <c r="A2842" s="22">
        <v>45252</v>
      </c>
      <c r="B2842">
        <v>9849.74</v>
      </c>
      <c r="C2842">
        <f t="shared" si="44"/>
        <v>4.0398251140204087</v>
      </c>
    </row>
    <row r="2843" spans="1:3" x14ac:dyDescent="0.15">
      <c r="A2843" s="22">
        <v>45254</v>
      </c>
      <c r="B2843">
        <v>9855.84</v>
      </c>
      <c r="C2843">
        <f t="shared" si="44"/>
        <v>4.0423270006890446</v>
      </c>
    </row>
    <row r="2844" spans="1:3" x14ac:dyDescent="0.15">
      <c r="A2844" s="22">
        <v>45257</v>
      </c>
      <c r="B2844">
        <v>9836.75</v>
      </c>
      <c r="C2844">
        <f t="shared" si="44"/>
        <v>4.034497325852282</v>
      </c>
    </row>
    <row r="2845" spans="1:3" x14ac:dyDescent="0.15">
      <c r="A2845" s="22">
        <v>45258</v>
      </c>
      <c r="B2845">
        <v>9846.43</v>
      </c>
      <c r="C2845">
        <f t="shared" si="44"/>
        <v>4.0384675328936579</v>
      </c>
    </row>
    <row r="2846" spans="1:3" x14ac:dyDescent="0.15">
      <c r="A2846" s="22">
        <v>45259</v>
      </c>
      <c r="B2846">
        <v>9838.82</v>
      </c>
      <c r="C2846">
        <f t="shared" si="44"/>
        <v>4.0353463267381962</v>
      </c>
    </row>
    <row r="2847" spans="1:3" x14ac:dyDescent="0.15">
      <c r="A2847" s="22">
        <v>45260</v>
      </c>
      <c r="B2847">
        <v>9879.02</v>
      </c>
      <c r="C2847">
        <f t="shared" si="44"/>
        <v>4.051834170029859</v>
      </c>
    </row>
    <row r="2848" spans="1:3" x14ac:dyDescent="0.15">
      <c r="A2848" s="22">
        <v>45261</v>
      </c>
      <c r="B2848">
        <v>9937.89</v>
      </c>
      <c r="C2848">
        <f t="shared" si="44"/>
        <v>4.0759794271089671</v>
      </c>
    </row>
    <row r="2849" spans="1:3" x14ac:dyDescent="0.15">
      <c r="A2849" s="22">
        <v>45264</v>
      </c>
      <c r="B2849">
        <v>9884.17</v>
      </c>
      <c r="C2849">
        <f t="shared" si="44"/>
        <v>4.0539464186107557</v>
      </c>
    </row>
    <row r="2850" spans="1:3" x14ac:dyDescent="0.15">
      <c r="A2850" s="22">
        <v>45265</v>
      </c>
      <c r="B2850">
        <v>9878.9699999999993</v>
      </c>
      <c r="C2850">
        <f t="shared" si="44"/>
        <v>4.0518136627620827</v>
      </c>
    </row>
    <row r="2851" spans="1:3" x14ac:dyDescent="0.15">
      <c r="A2851" s="22">
        <v>45266</v>
      </c>
      <c r="B2851">
        <v>9840.65</v>
      </c>
      <c r="C2851">
        <f t="shared" si="44"/>
        <v>4.0360968927387866</v>
      </c>
    </row>
    <row r="2852" spans="1:3" x14ac:dyDescent="0.15">
      <c r="A2852" s="22">
        <v>45267</v>
      </c>
      <c r="B2852">
        <v>9920.64</v>
      </c>
      <c r="C2852">
        <f t="shared" si="44"/>
        <v>4.0689044197263513</v>
      </c>
    </row>
    <row r="2853" spans="1:3" x14ac:dyDescent="0.15">
      <c r="A2853" s="22">
        <v>45268</v>
      </c>
      <c r="B2853">
        <v>9961.5</v>
      </c>
      <c r="C2853">
        <f t="shared" si="44"/>
        <v>4.0856629589526534</v>
      </c>
    </row>
    <row r="2854" spans="1:3" x14ac:dyDescent="0.15">
      <c r="A2854" s="22">
        <v>45271</v>
      </c>
      <c r="B2854">
        <v>10000.64</v>
      </c>
      <c r="C2854">
        <f t="shared" si="44"/>
        <v>4.1017160481674706</v>
      </c>
    </row>
    <row r="2855" spans="1:3" x14ac:dyDescent="0.15">
      <c r="A2855" s="22">
        <v>45272</v>
      </c>
      <c r="B2855">
        <v>10047.040000000001</v>
      </c>
      <c r="C2855">
        <f t="shared" si="44"/>
        <v>4.1207467926633203</v>
      </c>
    </row>
    <row r="2856" spans="1:3" x14ac:dyDescent="0.15">
      <c r="A2856" s="22">
        <v>45273</v>
      </c>
      <c r="B2856">
        <v>10184.379999999999</v>
      </c>
      <c r="C2856">
        <f t="shared" si="44"/>
        <v>4.1770761557896119</v>
      </c>
    </row>
    <row r="2857" spans="1:3" x14ac:dyDescent="0.15">
      <c r="A2857" s="22">
        <v>45274</v>
      </c>
      <c r="B2857">
        <v>10213.69</v>
      </c>
      <c r="C2857">
        <f t="shared" si="44"/>
        <v>4.1890975161597277</v>
      </c>
    </row>
    <row r="2858" spans="1:3" x14ac:dyDescent="0.15">
      <c r="A2858" s="22">
        <v>45275</v>
      </c>
      <c r="B2858">
        <v>10213.48</v>
      </c>
      <c r="C2858">
        <f t="shared" si="44"/>
        <v>4.1890113856350695</v>
      </c>
    </row>
    <row r="2859" spans="1:3" x14ac:dyDescent="0.15">
      <c r="A2859" s="22">
        <v>45278</v>
      </c>
      <c r="B2859">
        <v>10259.85</v>
      </c>
      <c r="C2859">
        <f t="shared" si="44"/>
        <v>4.2080298257702538</v>
      </c>
    </row>
    <row r="2860" spans="1:3" x14ac:dyDescent="0.15">
      <c r="A2860" s="22">
        <v>45279</v>
      </c>
      <c r="B2860">
        <v>10320.86</v>
      </c>
      <c r="C2860">
        <f t="shared" si="44"/>
        <v>4.2330527939101623</v>
      </c>
    </row>
    <row r="2861" spans="1:3" x14ac:dyDescent="0.15">
      <c r="A2861" s="22">
        <v>45280</v>
      </c>
      <c r="B2861">
        <v>10170.51</v>
      </c>
      <c r="C2861">
        <f t="shared" si="44"/>
        <v>4.1713874397086332</v>
      </c>
    </row>
    <row r="2862" spans="1:3" x14ac:dyDescent="0.15">
      <c r="A2862" s="22">
        <v>45281</v>
      </c>
      <c r="B2862">
        <v>10275.299999999999</v>
      </c>
      <c r="C2862">
        <f t="shared" si="44"/>
        <v>4.2143665715129446</v>
      </c>
    </row>
    <row r="2863" spans="1:3" x14ac:dyDescent="0.15">
      <c r="A2863" s="22">
        <v>45282</v>
      </c>
      <c r="B2863">
        <v>10292.370000000001</v>
      </c>
      <c r="C2863">
        <f t="shared" si="44"/>
        <v>4.2213677527315685</v>
      </c>
    </row>
    <row r="2864" spans="1:3" x14ac:dyDescent="0.15">
      <c r="A2864" s="22">
        <v>45286</v>
      </c>
      <c r="B2864">
        <v>10335.98</v>
      </c>
      <c r="C2864">
        <f t="shared" si="44"/>
        <v>4.2392541916855331</v>
      </c>
    </row>
    <row r="2865" spans="1:3" x14ac:dyDescent="0.15">
      <c r="A2865" s="22">
        <v>45287</v>
      </c>
      <c r="B2865">
        <v>10351.6</v>
      </c>
      <c r="C2865">
        <f t="shared" si="44"/>
        <v>4.2456606621386621</v>
      </c>
    </row>
    <row r="2866" spans="1:3" x14ac:dyDescent="0.15">
      <c r="A2866" s="22">
        <v>45288</v>
      </c>
      <c r="B2866">
        <v>10356.59</v>
      </c>
      <c r="C2866">
        <f t="shared" si="44"/>
        <v>4.2477072874626769</v>
      </c>
    </row>
    <row r="2867" spans="1:3" x14ac:dyDescent="0.15">
      <c r="A2867" s="22">
        <v>45289</v>
      </c>
      <c r="B2867">
        <v>10327.83</v>
      </c>
      <c r="C2867">
        <f t="shared" si="44"/>
        <v>4.2359115070380948</v>
      </c>
    </row>
    <row r="2868" spans="1:3" x14ac:dyDescent="0.15">
      <c r="A2868" s="22">
        <v>45293</v>
      </c>
      <c r="B2868">
        <v>10269.69</v>
      </c>
      <c r="C2868">
        <f t="shared" si="44"/>
        <v>4.2120656560685115</v>
      </c>
    </row>
    <row r="2869" spans="1:3" x14ac:dyDescent="0.15">
      <c r="A2869" s="22">
        <v>45294</v>
      </c>
      <c r="B2869">
        <v>10187.790000000001</v>
      </c>
      <c r="C2869">
        <f t="shared" si="44"/>
        <v>4.1784747514519154</v>
      </c>
    </row>
    <row r="2870" spans="1:3" x14ac:dyDescent="0.15">
      <c r="A2870" s="22">
        <v>45295</v>
      </c>
      <c r="B2870">
        <v>10154.200000000001</v>
      </c>
      <c r="C2870">
        <f t="shared" si="44"/>
        <v>4.1646979689602004</v>
      </c>
    </row>
    <row r="2871" spans="1:3" x14ac:dyDescent="0.15">
      <c r="A2871" s="22">
        <v>45296</v>
      </c>
      <c r="B2871">
        <v>10172.75</v>
      </c>
      <c r="C2871">
        <f t="shared" si="44"/>
        <v>4.1723061653049847</v>
      </c>
    </row>
    <row r="2872" spans="1:3" x14ac:dyDescent="0.15">
      <c r="A2872" s="22">
        <v>45299</v>
      </c>
      <c r="B2872">
        <v>10316.52</v>
      </c>
      <c r="C2872">
        <f t="shared" si="44"/>
        <v>4.2312727630672313</v>
      </c>
    </row>
    <row r="2873" spans="1:3" x14ac:dyDescent="0.15">
      <c r="A2873" s="22">
        <v>45300</v>
      </c>
      <c r="B2873">
        <v>10302.73</v>
      </c>
      <c r="C2873">
        <f t="shared" si="44"/>
        <v>4.2256168586146927</v>
      </c>
    </row>
    <row r="2874" spans="1:3" x14ac:dyDescent="0.15">
      <c r="A2874" s="22">
        <v>45301</v>
      </c>
      <c r="B2874">
        <v>10361.27</v>
      </c>
      <c r="C2874">
        <f t="shared" si="44"/>
        <v>4.2496267677264825</v>
      </c>
    </row>
    <row r="2875" spans="1:3" x14ac:dyDescent="0.15">
      <c r="A2875" s="22">
        <v>45302</v>
      </c>
      <c r="B2875">
        <v>10354.69</v>
      </c>
      <c r="C2875">
        <f t="shared" si="44"/>
        <v>4.246928011287201</v>
      </c>
    </row>
    <row r="2876" spans="1:3" x14ac:dyDescent="0.15">
      <c r="A2876" s="22">
        <v>45303</v>
      </c>
      <c r="B2876">
        <v>10363.35</v>
      </c>
      <c r="C2876">
        <f t="shared" si="44"/>
        <v>4.2504798700659521</v>
      </c>
    </row>
    <row r="2877" spans="1:3" x14ac:dyDescent="0.15">
      <c r="A2877" s="22">
        <v>45307</v>
      </c>
      <c r="B2877">
        <v>10324.83</v>
      </c>
      <c r="C2877">
        <f t="shared" si="44"/>
        <v>4.2346810709715523</v>
      </c>
    </row>
    <row r="2878" spans="1:3" x14ac:dyDescent="0.15">
      <c r="A2878" s="22">
        <v>45308</v>
      </c>
      <c r="B2878">
        <v>10267.049999999999</v>
      </c>
      <c r="C2878">
        <f t="shared" si="44"/>
        <v>4.2109828723299536</v>
      </c>
    </row>
    <row r="2879" spans="1:3" x14ac:dyDescent="0.15">
      <c r="A2879" s="22">
        <v>45309</v>
      </c>
      <c r="B2879">
        <v>10358.290000000001</v>
      </c>
      <c r="C2879">
        <f t="shared" si="44"/>
        <v>4.2484045345670509</v>
      </c>
    </row>
    <row r="2880" spans="1:3" x14ac:dyDescent="0.15">
      <c r="A2880" s="22">
        <v>45310</v>
      </c>
      <c r="B2880">
        <v>10486.44</v>
      </c>
      <c r="C2880">
        <f t="shared" si="44"/>
        <v>4.3009646618761694</v>
      </c>
    </row>
    <row r="2881" spans="1:3" x14ac:dyDescent="0.15">
      <c r="A2881" s="22">
        <v>45313</v>
      </c>
      <c r="B2881">
        <v>10509.44</v>
      </c>
      <c r="C2881">
        <f t="shared" si="44"/>
        <v>4.3103980050529911</v>
      </c>
    </row>
    <row r="2882" spans="1:3" x14ac:dyDescent="0.15">
      <c r="A2882" s="22">
        <v>45314</v>
      </c>
      <c r="B2882">
        <v>10540.38</v>
      </c>
      <c r="C2882">
        <f t="shared" ref="C2882:C2945" si="45">(B2882 / $B$2)</f>
        <v>4.3230879023525937</v>
      </c>
    </row>
    <row r="2883" spans="1:3" x14ac:dyDescent="0.15">
      <c r="A2883" s="22">
        <v>45315</v>
      </c>
      <c r="B2883">
        <v>10549.04</v>
      </c>
      <c r="C2883">
        <f t="shared" si="45"/>
        <v>4.3266397611313456</v>
      </c>
    </row>
    <row r="2884" spans="1:3" x14ac:dyDescent="0.15">
      <c r="A2884" s="22">
        <v>45316</v>
      </c>
      <c r="B2884">
        <v>10605.13</v>
      </c>
      <c r="C2884">
        <f t="shared" si="45"/>
        <v>4.3496448141221249</v>
      </c>
    </row>
    <row r="2885" spans="1:3" x14ac:dyDescent="0.15">
      <c r="A2885" s="22">
        <v>45317</v>
      </c>
      <c r="B2885">
        <v>10598.23</v>
      </c>
      <c r="C2885">
        <f t="shared" si="45"/>
        <v>4.3468148111690788</v>
      </c>
    </row>
    <row r="2886" spans="1:3" x14ac:dyDescent="0.15">
      <c r="A2886" s="22">
        <v>45320</v>
      </c>
      <c r="B2886">
        <v>10678.5</v>
      </c>
      <c r="C2886">
        <f t="shared" si="45"/>
        <v>4.3797371788561872</v>
      </c>
    </row>
    <row r="2887" spans="1:3" x14ac:dyDescent="0.15">
      <c r="A2887" s="22">
        <v>45321</v>
      </c>
      <c r="B2887">
        <v>10672.95</v>
      </c>
      <c r="C2887">
        <f t="shared" si="45"/>
        <v>4.3774608721330841</v>
      </c>
    </row>
    <row r="2888" spans="1:3" x14ac:dyDescent="0.15">
      <c r="A2888" s="22">
        <v>45322</v>
      </c>
      <c r="B2888">
        <v>10501.38</v>
      </c>
      <c r="C2888">
        <f t="shared" si="45"/>
        <v>4.3070922334875483</v>
      </c>
    </row>
    <row r="2889" spans="1:3" x14ac:dyDescent="0.15">
      <c r="A2889" s="22">
        <v>45323</v>
      </c>
      <c r="B2889">
        <v>10633.14</v>
      </c>
      <c r="C2889">
        <f t="shared" si="45"/>
        <v>4.3611329855300722</v>
      </c>
    </row>
    <row r="2890" spans="1:3" x14ac:dyDescent="0.15">
      <c r="A2890" s="22">
        <v>45324</v>
      </c>
      <c r="B2890">
        <v>10747.25</v>
      </c>
      <c r="C2890">
        <f t="shared" si="45"/>
        <v>4.4079346720477739</v>
      </c>
    </row>
    <row r="2891" spans="1:3" x14ac:dyDescent="0.15">
      <c r="A2891" s="22">
        <v>45327</v>
      </c>
      <c r="B2891">
        <v>10713.11</v>
      </c>
      <c r="C2891">
        <f t="shared" si="45"/>
        <v>4.3939323096105261</v>
      </c>
    </row>
    <row r="2892" spans="1:3" x14ac:dyDescent="0.15">
      <c r="A2892" s="22">
        <v>45328</v>
      </c>
      <c r="B2892">
        <v>10738.17</v>
      </c>
      <c r="C2892">
        <f t="shared" si="45"/>
        <v>4.4042105522197073</v>
      </c>
    </row>
    <row r="2893" spans="1:3" x14ac:dyDescent="0.15">
      <c r="A2893" s="22">
        <v>45329</v>
      </c>
      <c r="B2893">
        <v>10826.81</v>
      </c>
      <c r="C2893">
        <f t="shared" si="45"/>
        <v>4.4405658365324667</v>
      </c>
    </row>
    <row r="2894" spans="1:3" x14ac:dyDescent="0.15">
      <c r="A2894" s="22">
        <v>45330</v>
      </c>
      <c r="B2894">
        <v>10834.36</v>
      </c>
      <c r="C2894">
        <f t="shared" si="45"/>
        <v>4.4436624339665984</v>
      </c>
    </row>
    <row r="2895" spans="1:3" x14ac:dyDescent="0.15">
      <c r="A2895" s="22">
        <v>45331</v>
      </c>
      <c r="B2895">
        <v>10897.61</v>
      </c>
      <c r="C2895">
        <f t="shared" si="45"/>
        <v>4.4696041277028584</v>
      </c>
    </row>
    <row r="2896" spans="1:3" x14ac:dyDescent="0.15">
      <c r="A2896" s="22">
        <v>45334</v>
      </c>
      <c r="B2896">
        <v>10887.41</v>
      </c>
      <c r="C2896">
        <f t="shared" si="45"/>
        <v>4.4654206450766152</v>
      </c>
    </row>
    <row r="2897" spans="1:3" x14ac:dyDescent="0.15">
      <c r="A2897" s="22">
        <v>45335</v>
      </c>
      <c r="B2897">
        <v>10739.81</v>
      </c>
      <c r="C2897">
        <f t="shared" si="45"/>
        <v>4.4048831906027495</v>
      </c>
    </row>
    <row r="2898" spans="1:3" x14ac:dyDescent="0.15">
      <c r="A2898" s="22">
        <v>45336</v>
      </c>
      <c r="B2898">
        <v>10844.72</v>
      </c>
      <c r="C2898">
        <f t="shared" si="45"/>
        <v>4.4479115398497227</v>
      </c>
    </row>
    <row r="2899" spans="1:3" x14ac:dyDescent="0.15">
      <c r="A2899" s="22">
        <v>45337</v>
      </c>
      <c r="B2899">
        <v>10910.31</v>
      </c>
      <c r="C2899">
        <f t="shared" si="45"/>
        <v>4.4748129737178859</v>
      </c>
    </row>
    <row r="2900" spans="1:3" x14ac:dyDescent="0.15">
      <c r="A2900" s="22">
        <v>45338</v>
      </c>
      <c r="B2900">
        <v>10859.63</v>
      </c>
      <c r="C2900">
        <f t="shared" si="45"/>
        <v>4.4540268071004361</v>
      </c>
    </row>
    <row r="2901" spans="1:3" x14ac:dyDescent="0.15">
      <c r="A2901" s="22">
        <v>45342</v>
      </c>
      <c r="B2901">
        <v>10794.8</v>
      </c>
      <c r="C2901">
        <f t="shared" si="45"/>
        <v>4.4274370837024639</v>
      </c>
    </row>
    <row r="2902" spans="1:3" x14ac:dyDescent="0.15">
      <c r="A2902" s="22">
        <v>45343</v>
      </c>
      <c r="B2902">
        <v>10808.93</v>
      </c>
      <c r="C2902">
        <f t="shared" si="45"/>
        <v>4.4332324375758771</v>
      </c>
    </row>
    <row r="2903" spans="1:3" x14ac:dyDescent="0.15">
      <c r="A2903" s="22">
        <v>45344</v>
      </c>
      <c r="B2903">
        <v>11037.82</v>
      </c>
      <c r="C2903">
        <f t="shared" si="45"/>
        <v>4.5271106079994752</v>
      </c>
    </row>
    <row r="2904" spans="1:3" x14ac:dyDescent="0.15">
      <c r="A2904" s="22">
        <v>45345</v>
      </c>
      <c r="B2904">
        <v>11041.9</v>
      </c>
      <c r="C2904">
        <f t="shared" si="45"/>
        <v>4.5287840010499725</v>
      </c>
    </row>
    <row r="2905" spans="1:3" x14ac:dyDescent="0.15">
      <c r="A2905" s="22">
        <v>45348</v>
      </c>
      <c r="B2905">
        <v>11000.5</v>
      </c>
      <c r="C2905">
        <f t="shared" si="45"/>
        <v>4.511803983331693</v>
      </c>
    </row>
    <row r="2906" spans="1:3" x14ac:dyDescent="0.15">
      <c r="A2906" s="22">
        <v>45349</v>
      </c>
      <c r="B2906">
        <v>11019.44</v>
      </c>
      <c r="C2906">
        <f t="shared" si="45"/>
        <v>4.5195721363651282</v>
      </c>
    </row>
    <row r="2907" spans="1:3" x14ac:dyDescent="0.15">
      <c r="A2907" s="22">
        <v>45350</v>
      </c>
      <c r="B2907">
        <v>11002.2</v>
      </c>
      <c r="C2907">
        <f t="shared" si="45"/>
        <v>4.512501230436067</v>
      </c>
    </row>
    <row r="2908" spans="1:3" x14ac:dyDescent="0.15">
      <c r="A2908" s="22">
        <v>45351</v>
      </c>
      <c r="B2908">
        <v>11062.11</v>
      </c>
      <c r="C2908">
        <f t="shared" si="45"/>
        <v>4.5370730386849107</v>
      </c>
    </row>
    <row r="2909" spans="1:3" x14ac:dyDescent="0.15">
      <c r="A2909" s="22">
        <v>45352</v>
      </c>
      <c r="B2909">
        <v>11151.34</v>
      </c>
      <c r="C2909">
        <f t="shared" si="45"/>
        <v>4.573670308757424</v>
      </c>
    </row>
    <row r="2910" spans="1:3" x14ac:dyDescent="0.15">
      <c r="A2910" s="22">
        <v>45355</v>
      </c>
      <c r="B2910">
        <v>11138.43</v>
      </c>
      <c r="C2910">
        <f t="shared" si="45"/>
        <v>4.5683753322177383</v>
      </c>
    </row>
    <row r="2911" spans="1:3" x14ac:dyDescent="0.15">
      <c r="A2911" s="22">
        <v>45356</v>
      </c>
      <c r="B2911">
        <v>11025.16</v>
      </c>
      <c r="C2911">
        <f t="shared" si="45"/>
        <v>4.5219181677986677</v>
      </c>
    </row>
    <row r="2912" spans="1:3" x14ac:dyDescent="0.15">
      <c r="A2912" s="22">
        <v>45357</v>
      </c>
      <c r="B2912">
        <v>11082.65</v>
      </c>
      <c r="C2912">
        <f t="shared" si="45"/>
        <v>4.5454974242871673</v>
      </c>
    </row>
    <row r="2913" spans="1:3" x14ac:dyDescent="0.15">
      <c r="A2913" s="22">
        <v>45358</v>
      </c>
      <c r="B2913">
        <v>11198.39</v>
      </c>
      <c r="C2913">
        <f t="shared" si="45"/>
        <v>4.5929676477343575</v>
      </c>
    </row>
    <row r="2914" spans="1:3" x14ac:dyDescent="0.15">
      <c r="A2914" s="22">
        <v>45359</v>
      </c>
      <c r="B2914">
        <v>11126.07</v>
      </c>
      <c r="C2914">
        <f t="shared" si="45"/>
        <v>4.5633059356235854</v>
      </c>
    </row>
    <row r="2915" spans="1:3" x14ac:dyDescent="0.15">
      <c r="A2915" s="22">
        <v>45362</v>
      </c>
      <c r="B2915">
        <v>11113.61</v>
      </c>
      <c r="C2915">
        <f t="shared" si="45"/>
        <v>4.5581955244938808</v>
      </c>
    </row>
    <row r="2916" spans="1:3" x14ac:dyDescent="0.15">
      <c r="A2916" s="22">
        <v>45363</v>
      </c>
      <c r="B2916">
        <v>11238.46</v>
      </c>
      <c r="C2916">
        <f t="shared" si="45"/>
        <v>4.6094021721298031</v>
      </c>
    </row>
    <row r="2917" spans="1:3" x14ac:dyDescent="0.15">
      <c r="A2917" s="22">
        <v>45364</v>
      </c>
      <c r="B2917">
        <v>11217.3</v>
      </c>
      <c r="C2917">
        <f t="shared" si="45"/>
        <v>4.6007234964071264</v>
      </c>
    </row>
    <row r="2918" spans="1:3" x14ac:dyDescent="0.15">
      <c r="A2918" s="22">
        <v>45365</v>
      </c>
      <c r="B2918">
        <v>11187.85</v>
      </c>
      <c r="C2918">
        <f t="shared" si="45"/>
        <v>4.5886447156872396</v>
      </c>
    </row>
    <row r="2919" spans="1:3" x14ac:dyDescent="0.15">
      <c r="A2919" s="22">
        <v>45366</v>
      </c>
      <c r="B2919">
        <v>11115.69</v>
      </c>
      <c r="C2919">
        <f t="shared" si="45"/>
        <v>4.5590486268333503</v>
      </c>
    </row>
    <row r="2920" spans="1:3" x14ac:dyDescent="0.15">
      <c r="A2920" s="22">
        <v>45369</v>
      </c>
      <c r="B2920">
        <v>11186.04</v>
      </c>
      <c r="C2920">
        <f t="shared" si="45"/>
        <v>4.5879023525937601</v>
      </c>
    </row>
    <row r="2921" spans="1:3" x14ac:dyDescent="0.15">
      <c r="A2921" s="22">
        <v>45370</v>
      </c>
      <c r="B2921">
        <v>11249.23</v>
      </c>
      <c r="C2921">
        <f t="shared" si="45"/>
        <v>4.6138194376086883</v>
      </c>
    </row>
    <row r="2922" spans="1:3" x14ac:dyDescent="0.15">
      <c r="A2922" s="22">
        <v>45371</v>
      </c>
      <c r="B2922">
        <v>11350.89</v>
      </c>
      <c r="C2922">
        <f t="shared" si="45"/>
        <v>4.6555148144502416</v>
      </c>
    </row>
    <row r="2923" spans="1:3" x14ac:dyDescent="0.15">
      <c r="A2923" s="22">
        <v>45372</v>
      </c>
      <c r="B2923">
        <v>11387.89</v>
      </c>
      <c r="C2923">
        <f t="shared" si="45"/>
        <v>4.6706901926042592</v>
      </c>
    </row>
    <row r="2924" spans="1:3" x14ac:dyDescent="0.15">
      <c r="A2924" s="22">
        <v>45373</v>
      </c>
      <c r="B2924">
        <v>11372.49</v>
      </c>
      <c r="C2924">
        <f t="shared" si="45"/>
        <v>4.6643739541293439</v>
      </c>
    </row>
    <row r="2925" spans="1:3" x14ac:dyDescent="0.15">
      <c r="A2925" s="22">
        <v>45376</v>
      </c>
      <c r="B2925">
        <v>11337.74</v>
      </c>
      <c r="C2925">
        <f t="shared" si="45"/>
        <v>4.6501214030252322</v>
      </c>
    </row>
    <row r="2926" spans="1:3" x14ac:dyDescent="0.15">
      <c r="A2926" s="22">
        <v>45377</v>
      </c>
      <c r="B2926">
        <v>11306.01</v>
      </c>
      <c r="C2926">
        <f t="shared" si="45"/>
        <v>4.6371074908947731</v>
      </c>
    </row>
    <row r="2927" spans="1:3" x14ac:dyDescent="0.15">
      <c r="A2927" s="22">
        <v>45378</v>
      </c>
      <c r="B2927">
        <v>11404.95</v>
      </c>
      <c r="C2927">
        <f t="shared" si="45"/>
        <v>4.6776872723693286</v>
      </c>
    </row>
    <row r="2928" spans="1:3" x14ac:dyDescent="0.15">
      <c r="A2928" s="22">
        <v>45379</v>
      </c>
      <c r="B2928">
        <v>11418.03</v>
      </c>
      <c r="C2928">
        <f t="shared" si="45"/>
        <v>4.6830519736194516</v>
      </c>
    </row>
    <row r="2929" spans="1:3" x14ac:dyDescent="0.15">
      <c r="A2929" s="22">
        <v>45383</v>
      </c>
      <c r="B2929">
        <v>11395.08</v>
      </c>
      <c r="C2929">
        <f t="shared" si="45"/>
        <v>4.6736391377104045</v>
      </c>
    </row>
    <row r="2930" spans="1:3" x14ac:dyDescent="0.15">
      <c r="A2930" s="22">
        <v>45384</v>
      </c>
      <c r="B2930">
        <v>11312.9</v>
      </c>
      <c r="C2930">
        <f t="shared" si="45"/>
        <v>4.6399333923942647</v>
      </c>
    </row>
    <row r="2931" spans="1:3" x14ac:dyDescent="0.15">
      <c r="A2931" s="22">
        <v>45385</v>
      </c>
      <c r="B2931">
        <v>11325.78</v>
      </c>
      <c r="C2931">
        <f t="shared" si="45"/>
        <v>4.645216064573285</v>
      </c>
    </row>
    <row r="2932" spans="1:3" x14ac:dyDescent="0.15">
      <c r="A2932" s="22">
        <v>45386</v>
      </c>
      <c r="B2932">
        <v>11187.49</v>
      </c>
      <c r="C2932">
        <f t="shared" si="45"/>
        <v>4.588497063359255</v>
      </c>
    </row>
    <row r="2933" spans="1:3" x14ac:dyDescent="0.15">
      <c r="A2933" s="22">
        <v>45387</v>
      </c>
      <c r="B2933">
        <v>11311.7</v>
      </c>
      <c r="C2933">
        <f t="shared" si="45"/>
        <v>4.6394412179676481</v>
      </c>
    </row>
    <row r="2934" spans="1:3" x14ac:dyDescent="0.15">
      <c r="A2934" s="22">
        <v>45390</v>
      </c>
      <c r="B2934">
        <v>11307.66</v>
      </c>
      <c r="C2934">
        <f t="shared" si="45"/>
        <v>4.6377842307313717</v>
      </c>
    </row>
    <row r="2935" spans="1:3" x14ac:dyDescent="0.15">
      <c r="A2935" s="22">
        <v>45391</v>
      </c>
      <c r="B2935">
        <v>11325.63</v>
      </c>
      <c r="C2935">
        <f t="shared" si="45"/>
        <v>4.6451545427699577</v>
      </c>
    </row>
    <row r="2936" spans="1:3" x14ac:dyDescent="0.15">
      <c r="A2936" s="22">
        <v>45392</v>
      </c>
      <c r="B2936">
        <v>11218.73</v>
      </c>
      <c r="C2936">
        <f t="shared" si="45"/>
        <v>4.6013100042655122</v>
      </c>
    </row>
    <row r="2937" spans="1:3" x14ac:dyDescent="0.15">
      <c r="A2937" s="22">
        <v>45393</v>
      </c>
      <c r="B2937">
        <v>11302.53</v>
      </c>
      <c r="C2937">
        <f t="shared" si="45"/>
        <v>4.6356801850575851</v>
      </c>
    </row>
    <row r="2938" spans="1:3" x14ac:dyDescent="0.15">
      <c r="A2938" s="22">
        <v>45394</v>
      </c>
      <c r="B2938">
        <v>11139.38</v>
      </c>
      <c r="C2938">
        <f t="shared" si="45"/>
        <v>4.5687649703054758</v>
      </c>
    </row>
    <row r="2939" spans="1:3" x14ac:dyDescent="0.15">
      <c r="A2939" s="22">
        <v>45397</v>
      </c>
      <c r="B2939">
        <v>11005.61</v>
      </c>
      <c r="C2939">
        <f t="shared" si="45"/>
        <v>4.5138998260983696</v>
      </c>
    </row>
    <row r="2940" spans="1:3" x14ac:dyDescent="0.15">
      <c r="A2940" s="22">
        <v>45398</v>
      </c>
      <c r="B2940">
        <v>10982.99</v>
      </c>
      <c r="C2940">
        <f t="shared" si="45"/>
        <v>4.5046223381566426</v>
      </c>
    </row>
    <row r="2941" spans="1:3" x14ac:dyDescent="0.15">
      <c r="A2941" s="22">
        <v>45399</v>
      </c>
      <c r="B2941">
        <v>10919.49</v>
      </c>
      <c r="C2941">
        <f t="shared" si="45"/>
        <v>4.4785781080815044</v>
      </c>
    </row>
    <row r="2942" spans="1:3" x14ac:dyDescent="0.15">
      <c r="A2942" s="22">
        <v>45400</v>
      </c>
      <c r="B2942">
        <v>10896.07</v>
      </c>
      <c r="C2942">
        <f t="shared" si="45"/>
        <v>4.4689725038553663</v>
      </c>
    </row>
    <row r="2943" spans="1:3" x14ac:dyDescent="0.15">
      <c r="A2943" s="22">
        <v>45401</v>
      </c>
      <c r="B2943">
        <v>10801.16</v>
      </c>
      <c r="C2943">
        <f t="shared" si="45"/>
        <v>4.4300456081635335</v>
      </c>
    </row>
    <row r="2944" spans="1:3" x14ac:dyDescent="0.15">
      <c r="A2944" s="22">
        <v>45404</v>
      </c>
      <c r="B2944">
        <v>10895.47</v>
      </c>
      <c r="C2944">
        <f t="shared" si="45"/>
        <v>4.4687264166420579</v>
      </c>
    </row>
    <row r="2945" spans="1:3" x14ac:dyDescent="0.15">
      <c r="A2945" s="22">
        <v>45405</v>
      </c>
      <c r="B2945">
        <v>11026.06</v>
      </c>
      <c r="C2945">
        <f t="shared" si="45"/>
        <v>4.5222872986186307</v>
      </c>
    </row>
    <row r="2946" spans="1:3" x14ac:dyDescent="0.15">
      <c r="A2946" s="22">
        <v>45406</v>
      </c>
      <c r="B2946">
        <v>11028.46</v>
      </c>
      <c r="C2946">
        <f t="shared" ref="C2946:C3009" si="46">(B2946 / $B$2)</f>
        <v>4.5232716474718639</v>
      </c>
    </row>
    <row r="2947" spans="1:3" x14ac:dyDescent="0.15">
      <c r="A2947" s="22">
        <v>45407</v>
      </c>
      <c r="B2947">
        <v>10978.2</v>
      </c>
      <c r="C2947">
        <f t="shared" si="46"/>
        <v>4.5026577419037315</v>
      </c>
    </row>
    <row r="2948" spans="1:3" x14ac:dyDescent="0.15">
      <c r="A2948" s="22">
        <v>45408</v>
      </c>
      <c r="B2948">
        <v>11090.46</v>
      </c>
      <c r="C2948">
        <f t="shared" si="46"/>
        <v>4.5487006595137318</v>
      </c>
    </row>
    <row r="2949" spans="1:3" x14ac:dyDescent="0.15">
      <c r="A2949" s="22">
        <v>45411</v>
      </c>
      <c r="B2949">
        <v>11126.28</v>
      </c>
      <c r="C2949">
        <f t="shared" si="46"/>
        <v>4.5633920661482437</v>
      </c>
    </row>
    <row r="2950" spans="1:3" x14ac:dyDescent="0.15">
      <c r="A2950" s="22">
        <v>45412</v>
      </c>
      <c r="B2950">
        <v>10951.66</v>
      </c>
      <c r="C2950">
        <f t="shared" si="46"/>
        <v>4.4917724841683899</v>
      </c>
    </row>
    <row r="2951" spans="1:3" x14ac:dyDescent="0.15">
      <c r="A2951" s="22">
        <v>45413</v>
      </c>
      <c r="B2951">
        <v>10914.11</v>
      </c>
      <c r="C2951">
        <f t="shared" si="46"/>
        <v>4.4763715260688395</v>
      </c>
    </row>
    <row r="2952" spans="1:3" x14ac:dyDescent="0.15">
      <c r="A2952" s="22">
        <v>45414</v>
      </c>
      <c r="B2952">
        <v>11013.91</v>
      </c>
      <c r="C2952">
        <f t="shared" si="46"/>
        <v>4.517304032549136</v>
      </c>
    </row>
    <row r="2953" spans="1:3" x14ac:dyDescent="0.15">
      <c r="A2953" s="22">
        <v>45415</v>
      </c>
      <c r="B2953">
        <v>11152.76</v>
      </c>
      <c r="C2953">
        <f t="shared" si="46"/>
        <v>4.5742527151622543</v>
      </c>
    </row>
    <row r="2954" spans="1:3" x14ac:dyDescent="0.15">
      <c r="A2954" s="22">
        <v>45418</v>
      </c>
      <c r="B2954">
        <v>11268.23</v>
      </c>
      <c r="C2954">
        <f t="shared" si="46"/>
        <v>4.6216121993634545</v>
      </c>
    </row>
    <row r="2955" spans="1:3" x14ac:dyDescent="0.15">
      <c r="A2955" s="22">
        <v>45419</v>
      </c>
      <c r="B2955">
        <v>11283.96</v>
      </c>
      <c r="C2955">
        <f t="shared" si="46"/>
        <v>4.6280637858056899</v>
      </c>
    </row>
    <row r="2956" spans="1:3" x14ac:dyDescent="0.15">
      <c r="A2956" s="22">
        <v>45420</v>
      </c>
      <c r="B2956">
        <v>11283.91</v>
      </c>
      <c r="C2956">
        <f t="shared" si="46"/>
        <v>4.6280432785379144</v>
      </c>
    </row>
    <row r="2957" spans="1:3" x14ac:dyDescent="0.15">
      <c r="A2957" s="22">
        <v>45421</v>
      </c>
      <c r="B2957">
        <v>11343.55</v>
      </c>
      <c r="C2957">
        <f t="shared" si="46"/>
        <v>4.6525043475407681</v>
      </c>
    </row>
    <row r="2958" spans="1:3" x14ac:dyDescent="0.15">
      <c r="A2958" s="22">
        <v>45422</v>
      </c>
      <c r="B2958">
        <v>11364.04</v>
      </c>
      <c r="C2958">
        <f t="shared" si="46"/>
        <v>4.660908225875251</v>
      </c>
    </row>
    <row r="2959" spans="1:3" x14ac:dyDescent="0.15">
      <c r="A2959" s="22">
        <v>45425</v>
      </c>
      <c r="B2959">
        <v>11361.46</v>
      </c>
      <c r="C2959">
        <f t="shared" si="46"/>
        <v>4.6598500508580241</v>
      </c>
    </row>
    <row r="2960" spans="1:3" x14ac:dyDescent="0.15">
      <c r="A2960" s="22">
        <v>45426</v>
      </c>
      <c r="B2960">
        <v>11418.12</v>
      </c>
      <c r="C2960">
        <f t="shared" si="46"/>
        <v>4.683088886701448</v>
      </c>
    </row>
    <row r="2961" spans="1:3" x14ac:dyDescent="0.15">
      <c r="A2961" s="22">
        <v>45427</v>
      </c>
      <c r="B2961">
        <v>11554.04</v>
      </c>
      <c r="C2961">
        <f t="shared" si="46"/>
        <v>4.7388358434229101</v>
      </c>
    </row>
    <row r="2962" spans="1:3" x14ac:dyDescent="0.15">
      <c r="A2962" s="22">
        <v>45428</v>
      </c>
      <c r="B2962">
        <v>11532.36</v>
      </c>
      <c r="C2962">
        <f t="shared" si="46"/>
        <v>4.729943892115366</v>
      </c>
    </row>
    <row r="2963" spans="1:3" x14ac:dyDescent="0.15">
      <c r="A2963" s="22">
        <v>45429</v>
      </c>
      <c r="B2963">
        <v>11546.28</v>
      </c>
      <c r="C2963">
        <f t="shared" si="46"/>
        <v>4.735653115464121</v>
      </c>
    </row>
    <row r="2964" spans="1:3" x14ac:dyDescent="0.15">
      <c r="A2964" s="22">
        <v>45432</v>
      </c>
      <c r="B2964">
        <v>11557.84</v>
      </c>
      <c r="C2964">
        <f t="shared" si="46"/>
        <v>4.7403943957738628</v>
      </c>
    </row>
    <row r="2965" spans="1:3" x14ac:dyDescent="0.15">
      <c r="A2965" s="22">
        <v>45433</v>
      </c>
      <c r="B2965">
        <v>11587.05</v>
      </c>
      <c r="C2965">
        <f t="shared" si="46"/>
        <v>4.7523747416084259</v>
      </c>
    </row>
    <row r="2966" spans="1:3" x14ac:dyDescent="0.15">
      <c r="A2966" s="22">
        <v>45434</v>
      </c>
      <c r="B2966">
        <v>11555.84</v>
      </c>
      <c r="C2966">
        <f t="shared" si="46"/>
        <v>4.7395741050628351</v>
      </c>
    </row>
    <row r="2967" spans="1:3" x14ac:dyDescent="0.15">
      <c r="A2967" s="22">
        <v>45435</v>
      </c>
      <c r="B2967">
        <v>11470.98</v>
      </c>
      <c r="C2967">
        <f t="shared" si="46"/>
        <v>4.7047691701939165</v>
      </c>
    </row>
    <row r="2968" spans="1:3" x14ac:dyDescent="0.15">
      <c r="A2968" s="22">
        <v>45436</v>
      </c>
      <c r="B2968">
        <v>11551.56</v>
      </c>
      <c r="C2968">
        <f t="shared" si="46"/>
        <v>4.7378186829412341</v>
      </c>
    </row>
    <row r="2969" spans="1:3" x14ac:dyDescent="0.15">
      <c r="A2969" s="22">
        <v>45440</v>
      </c>
      <c r="B2969">
        <v>11554.45</v>
      </c>
      <c r="C2969">
        <f t="shared" si="46"/>
        <v>4.7390040030186702</v>
      </c>
    </row>
    <row r="2970" spans="1:3" x14ac:dyDescent="0.15">
      <c r="A2970" s="22">
        <v>45441</v>
      </c>
      <c r="B2970">
        <v>11469.46</v>
      </c>
      <c r="C2970">
        <f t="shared" si="46"/>
        <v>4.7041457492535352</v>
      </c>
    </row>
    <row r="2971" spans="1:3" x14ac:dyDescent="0.15">
      <c r="A2971" s="22">
        <v>45442</v>
      </c>
      <c r="B2971">
        <v>11402.1</v>
      </c>
      <c r="C2971">
        <f t="shared" si="46"/>
        <v>4.6765183581061134</v>
      </c>
    </row>
    <row r="2972" spans="1:3" x14ac:dyDescent="0.15">
      <c r="A2972" s="22">
        <v>45443</v>
      </c>
      <c r="B2972">
        <v>11494.7</v>
      </c>
      <c r="C2972">
        <f t="shared" si="46"/>
        <v>4.7144978180267092</v>
      </c>
    </row>
    <row r="2973" spans="1:3" x14ac:dyDescent="0.15">
      <c r="A2973" s="22">
        <v>45446</v>
      </c>
      <c r="B2973">
        <v>11508.89</v>
      </c>
      <c r="C2973">
        <f t="shared" si="46"/>
        <v>4.7203177806214525</v>
      </c>
    </row>
    <row r="2974" spans="1:3" x14ac:dyDescent="0.15">
      <c r="A2974" s="22">
        <v>45447</v>
      </c>
      <c r="B2974">
        <v>11526.81</v>
      </c>
      <c r="C2974">
        <f t="shared" si="46"/>
        <v>4.7276675853922629</v>
      </c>
    </row>
    <row r="2975" spans="1:3" x14ac:dyDescent="0.15">
      <c r="A2975" s="22">
        <v>45448</v>
      </c>
      <c r="B2975">
        <v>11663.55</v>
      </c>
      <c r="C2975">
        <f t="shared" si="46"/>
        <v>4.7837508613052462</v>
      </c>
    </row>
    <row r="2976" spans="1:3" x14ac:dyDescent="0.15">
      <c r="A2976" s="22">
        <v>45449</v>
      </c>
      <c r="B2976">
        <v>11661.37</v>
      </c>
      <c r="C2976">
        <f t="shared" si="46"/>
        <v>4.7828567444302266</v>
      </c>
    </row>
    <row r="2977" spans="1:3" x14ac:dyDescent="0.15">
      <c r="A2977" s="22">
        <v>45450</v>
      </c>
      <c r="B2977">
        <v>11650.49</v>
      </c>
      <c r="C2977">
        <f t="shared" si="46"/>
        <v>4.7783943629622341</v>
      </c>
    </row>
    <row r="2978" spans="1:3" x14ac:dyDescent="0.15">
      <c r="A2978" s="22">
        <v>45453</v>
      </c>
      <c r="B2978">
        <v>11681.54</v>
      </c>
      <c r="C2978">
        <f t="shared" si="46"/>
        <v>4.7911293762509439</v>
      </c>
    </row>
    <row r="2979" spans="1:3" x14ac:dyDescent="0.15">
      <c r="A2979" s="22">
        <v>45454</v>
      </c>
      <c r="B2979">
        <v>11713.3</v>
      </c>
      <c r="C2979">
        <f t="shared" si="46"/>
        <v>4.8041555927420676</v>
      </c>
    </row>
    <row r="2980" spans="1:3" x14ac:dyDescent="0.15">
      <c r="A2980" s="22">
        <v>45455</v>
      </c>
      <c r="B2980">
        <v>11813.17</v>
      </c>
      <c r="C2980">
        <f t="shared" si="46"/>
        <v>4.8451168093972505</v>
      </c>
    </row>
    <row r="2981" spans="1:3" x14ac:dyDescent="0.15">
      <c r="A2981" s="22">
        <v>45456</v>
      </c>
      <c r="B2981">
        <v>11841.02</v>
      </c>
      <c r="C2981">
        <f t="shared" si="46"/>
        <v>4.856539357548316</v>
      </c>
    </row>
    <row r="2982" spans="1:3" x14ac:dyDescent="0.15">
      <c r="A2982" s="22">
        <v>45457</v>
      </c>
      <c r="B2982">
        <v>11839.27</v>
      </c>
      <c r="C2982">
        <f t="shared" si="46"/>
        <v>4.8558216031761665</v>
      </c>
    </row>
    <row r="2983" spans="1:3" x14ac:dyDescent="0.15">
      <c r="A2983" s="22">
        <v>45460</v>
      </c>
      <c r="B2983">
        <v>11931.48</v>
      </c>
      <c r="C2983">
        <f t="shared" si="46"/>
        <v>4.8936411064081113</v>
      </c>
    </row>
    <row r="2984" spans="1:3" x14ac:dyDescent="0.15">
      <c r="A2984" s="22">
        <v>45461</v>
      </c>
      <c r="B2984">
        <v>11961.93</v>
      </c>
      <c r="C2984">
        <f t="shared" si="46"/>
        <v>4.9061300324835129</v>
      </c>
    </row>
    <row r="2985" spans="1:3" x14ac:dyDescent="0.15">
      <c r="A2985" s="22">
        <v>45463</v>
      </c>
      <c r="B2985">
        <v>11931.8</v>
      </c>
      <c r="C2985">
        <f t="shared" si="46"/>
        <v>4.8937723529218751</v>
      </c>
    </row>
    <row r="2986" spans="1:3" x14ac:dyDescent="0.15">
      <c r="A2986" s="22">
        <v>45464</v>
      </c>
      <c r="B2986">
        <v>11913.78</v>
      </c>
      <c r="C2986">
        <f t="shared" si="46"/>
        <v>4.8863815336155136</v>
      </c>
    </row>
    <row r="2987" spans="1:3" x14ac:dyDescent="0.15">
      <c r="A2987" s="22">
        <v>45467</v>
      </c>
      <c r="B2987">
        <v>11878.04</v>
      </c>
      <c r="C2987">
        <f t="shared" si="46"/>
        <v>4.8717229386094436</v>
      </c>
    </row>
    <row r="2988" spans="1:3" x14ac:dyDescent="0.15">
      <c r="A2988" s="22">
        <v>45468</v>
      </c>
      <c r="B2988">
        <v>11924.75</v>
      </c>
      <c r="C2988">
        <f t="shared" si="46"/>
        <v>4.8908808281655025</v>
      </c>
    </row>
    <row r="2989" spans="1:3" x14ac:dyDescent="0.15">
      <c r="A2989" s="22">
        <v>45469</v>
      </c>
      <c r="B2989">
        <v>11943.53</v>
      </c>
      <c r="C2989">
        <f t="shared" si="46"/>
        <v>4.898583357942055</v>
      </c>
    </row>
    <row r="2990" spans="1:3" x14ac:dyDescent="0.15">
      <c r="A2990" s="22">
        <v>45470</v>
      </c>
      <c r="B2990">
        <v>11954.5</v>
      </c>
      <c r="C2990">
        <f t="shared" si="46"/>
        <v>4.9030826524920439</v>
      </c>
    </row>
    <row r="2991" spans="1:3" x14ac:dyDescent="0.15">
      <c r="A2991" s="22">
        <v>45471</v>
      </c>
      <c r="B2991">
        <v>11907.15</v>
      </c>
      <c r="C2991">
        <f t="shared" si="46"/>
        <v>4.8836622699084558</v>
      </c>
    </row>
    <row r="2992" spans="1:3" x14ac:dyDescent="0.15">
      <c r="A2992" s="22">
        <v>45474</v>
      </c>
      <c r="B2992">
        <v>11939.38</v>
      </c>
      <c r="C2992">
        <f t="shared" si="46"/>
        <v>4.8968812547166714</v>
      </c>
    </row>
    <row r="2993" spans="1:3" x14ac:dyDescent="0.15">
      <c r="A2993" s="22">
        <v>45475</v>
      </c>
      <c r="B2993">
        <v>12013.4</v>
      </c>
      <c r="C2993">
        <f t="shared" si="46"/>
        <v>4.9272402139318174</v>
      </c>
    </row>
    <row r="2994" spans="1:3" x14ac:dyDescent="0.15">
      <c r="A2994" s="22">
        <v>45476</v>
      </c>
      <c r="B2994">
        <v>12074.83</v>
      </c>
      <c r="C2994">
        <f t="shared" si="46"/>
        <v>4.9524354431210424</v>
      </c>
    </row>
    <row r="2995" spans="1:3" x14ac:dyDescent="0.15">
      <c r="A2995" s="22">
        <v>45478</v>
      </c>
      <c r="B2995">
        <v>12142.54</v>
      </c>
      <c r="C2995">
        <f t="shared" si="46"/>
        <v>4.9802063851428953</v>
      </c>
    </row>
    <row r="2996" spans="1:3" x14ac:dyDescent="0.15">
      <c r="A2996" s="22">
        <v>45481</v>
      </c>
      <c r="B2996">
        <v>12155.27</v>
      </c>
      <c r="C2996">
        <f t="shared" si="46"/>
        <v>4.9854275355185882</v>
      </c>
    </row>
    <row r="2997" spans="1:3" x14ac:dyDescent="0.15">
      <c r="A2997" s="22">
        <v>45482</v>
      </c>
      <c r="B2997">
        <v>12164.57</v>
      </c>
      <c r="C2997">
        <f t="shared" si="46"/>
        <v>4.9892418873248685</v>
      </c>
    </row>
    <row r="2998" spans="1:3" x14ac:dyDescent="0.15">
      <c r="A2998" s="22">
        <v>45483</v>
      </c>
      <c r="B2998">
        <v>12290.21</v>
      </c>
      <c r="C2998">
        <f t="shared" si="46"/>
        <v>5.0407725497916465</v>
      </c>
    </row>
    <row r="2999" spans="1:3" x14ac:dyDescent="0.15">
      <c r="A2999" s="22">
        <v>45484</v>
      </c>
      <c r="B2999">
        <v>12182.97</v>
      </c>
      <c r="C2999">
        <f t="shared" si="46"/>
        <v>4.9967885618663255</v>
      </c>
    </row>
    <row r="3000" spans="1:3" x14ac:dyDescent="0.15">
      <c r="A3000" s="22">
        <v>45485</v>
      </c>
      <c r="B3000">
        <v>12250.19</v>
      </c>
      <c r="C3000">
        <f t="shared" si="46"/>
        <v>5.0243585326639764</v>
      </c>
    </row>
    <row r="3001" spans="1:3" x14ac:dyDescent="0.15">
      <c r="A3001" s="22">
        <v>45488</v>
      </c>
      <c r="B3001">
        <v>12286.05</v>
      </c>
      <c r="C3001">
        <f t="shared" si="46"/>
        <v>5.0390663451127082</v>
      </c>
    </row>
    <row r="3002" spans="1:3" x14ac:dyDescent="0.15">
      <c r="A3002" s="22">
        <v>45489</v>
      </c>
      <c r="B3002">
        <v>12364.56</v>
      </c>
      <c r="C3002">
        <f t="shared" si="46"/>
        <v>5.0712668569741117</v>
      </c>
    </row>
    <row r="3003" spans="1:3" x14ac:dyDescent="0.15">
      <c r="A3003" s="22">
        <v>45490</v>
      </c>
      <c r="B3003">
        <v>12192.49</v>
      </c>
      <c r="C3003">
        <f t="shared" si="46"/>
        <v>5.0006931456508186</v>
      </c>
    </row>
    <row r="3004" spans="1:3" x14ac:dyDescent="0.15">
      <c r="A3004" s="22">
        <v>45491</v>
      </c>
      <c r="B3004">
        <v>12097.25</v>
      </c>
      <c r="C3004">
        <f t="shared" si="46"/>
        <v>4.9616309019916658</v>
      </c>
    </row>
    <row r="3005" spans="1:3" x14ac:dyDescent="0.15">
      <c r="A3005" s="22">
        <v>45492</v>
      </c>
      <c r="B3005">
        <v>12011.61</v>
      </c>
      <c r="C3005">
        <f t="shared" si="46"/>
        <v>4.9265060537454479</v>
      </c>
    </row>
    <row r="3006" spans="1:3" x14ac:dyDescent="0.15">
      <c r="A3006" s="22">
        <v>45495</v>
      </c>
      <c r="B3006">
        <v>12141.75</v>
      </c>
      <c r="C3006">
        <f t="shared" si="46"/>
        <v>4.9798823703120387</v>
      </c>
    </row>
    <row r="3007" spans="1:3" x14ac:dyDescent="0.15">
      <c r="A3007" s="22">
        <v>45496</v>
      </c>
      <c r="B3007">
        <v>12122.83</v>
      </c>
      <c r="C3007">
        <f t="shared" si="46"/>
        <v>4.9721224201857144</v>
      </c>
    </row>
    <row r="3008" spans="1:3" x14ac:dyDescent="0.15">
      <c r="A3008" s="22">
        <v>45497</v>
      </c>
      <c r="B3008">
        <v>11842.36</v>
      </c>
      <c r="C3008">
        <f t="shared" si="46"/>
        <v>4.8570889523247045</v>
      </c>
    </row>
    <row r="3009" spans="1:3" x14ac:dyDescent="0.15">
      <c r="A3009" s="22">
        <v>45498</v>
      </c>
      <c r="B3009">
        <v>11781.57</v>
      </c>
      <c r="C3009">
        <f t="shared" si="46"/>
        <v>4.8321562161630087</v>
      </c>
    </row>
    <row r="3010" spans="1:3" x14ac:dyDescent="0.15">
      <c r="A3010" s="22">
        <v>45499</v>
      </c>
      <c r="B3010">
        <v>11913.04</v>
      </c>
      <c r="C3010">
        <f t="shared" ref="C3010:C3073" si="47">(B3010 / $B$2)</f>
        <v>4.8860780260524335</v>
      </c>
    </row>
    <row r="3011" spans="1:3" x14ac:dyDescent="0.15">
      <c r="A3011" s="22">
        <v>45502</v>
      </c>
      <c r="B3011">
        <v>11922.89</v>
      </c>
      <c r="C3011">
        <f t="shared" si="47"/>
        <v>4.8901179578042457</v>
      </c>
    </row>
    <row r="3012" spans="1:3" x14ac:dyDescent="0.15">
      <c r="A3012" s="22">
        <v>45503</v>
      </c>
      <c r="B3012">
        <v>11863.8</v>
      </c>
      <c r="C3012">
        <f t="shared" si="47"/>
        <v>4.865882468746924</v>
      </c>
    </row>
    <row r="3013" spans="1:3" x14ac:dyDescent="0.15">
      <c r="A3013" s="22">
        <v>45504</v>
      </c>
      <c r="B3013">
        <v>12052.09</v>
      </c>
      <c r="C3013">
        <f t="shared" si="47"/>
        <v>4.9431087377366545</v>
      </c>
    </row>
    <row r="3014" spans="1:3" x14ac:dyDescent="0.15">
      <c r="A3014" s="22">
        <v>45505</v>
      </c>
      <c r="B3014">
        <v>11887.54</v>
      </c>
      <c r="C3014">
        <f t="shared" si="47"/>
        <v>4.8756193194868267</v>
      </c>
    </row>
    <row r="3015" spans="1:3" x14ac:dyDescent="0.15">
      <c r="A3015" s="22">
        <v>45506</v>
      </c>
      <c r="B3015">
        <v>11669.18</v>
      </c>
      <c r="C3015">
        <f t="shared" si="47"/>
        <v>4.7860599796567911</v>
      </c>
    </row>
    <row r="3016" spans="1:3" x14ac:dyDescent="0.15">
      <c r="A3016" s="22">
        <v>45509</v>
      </c>
      <c r="B3016">
        <v>11319.96</v>
      </c>
      <c r="C3016">
        <f t="shared" si="47"/>
        <v>4.6428290186041936</v>
      </c>
    </row>
    <row r="3017" spans="1:3" x14ac:dyDescent="0.15">
      <c r="A3017" s="22">
        <v>45510</v>
      </c>
      <c r="B3017">
        <v>11437.32</v>
      </c>
      <c r="C3017">
        <f t="shared" si="47"/>
        <v>4.690963677527316</v>
      </c>
    </row>
    <row r="3018" spans="1:3" x14ac:dyDescent="0.15">
      <c r="A3018" s="22">
        <v>45511</v>
      </c>
      <c r="B3018">
        <v>11349.24</v>
      </c>
      <c r="C3018">
        <f t="shared" si="47"/>
        <v>4.6548380746136431</v>
      </c>
    </row>
    <row r="3019" spans="1:3" x14ac:dyDescent="0.15">
      <c r="A3019" s="22">
        <v>45512</v>
      </c>
      <c r="B3019">
        <v>11610.84</v>
      </c>
      <c r="C3019">
        <f t="shared" si="47"/>
        <v>4.7621320996161041</v>
      </c>
    </row>
    <row r="3020" spans="1:3" x14ac:dyDescent="0.15">
      <c r="A3020" s="22">
        <v>45513</v>
      </c>
      <c r="B3020">
        <v>11666.49</v>
      </c>
      <c r="C3020">
        <f t="shared" si="47"/>
        <v>4.7849566886504578</v>
      </c>
    </row>
    <row r="3021" spans="1:3" x14ac:dyDescent="0.15">
      <c r="A3021" s="22">
        <v>45516</v>
      </c>
      <c r="B3021">
        <v>11668.59</v>
      </c>
      <c r="C3021">
        <f t="shared" si="47"/>
        <v>4.7858179938970373</v>
      </c>
    </row>
    <row r="3022" spans="1:3" x14ac:dyDescent="0.15">
      <c r="A3022" s="22">
        <v>45517</v>
      </c>
      <c r="B3022">
        <v>11865.29</v>
      </c>
      <c r="C3022">
        <f t="shared" si="47"/>
        <v>4.8664935853266407</v>
      </c>
    </row>
    <row r="3023" spans="1:3" x14ac:dyDescent="0.15">
      <c r="A3023" s="22">
        <v>45518</v>
      </c>
      <c r="B3023">
        <v>11911.02</v>
      </c>
      <c r="C3023">
        <f t="shared" si="47"/>
        <v>4.8852495324342948</v>
      </c>
    </row>
    <row r="3024" spans="1:3" x14ac:dyDescent="0.15">
      <c r="A3024" s="22">
        <v>45519</v>
      </c>
      <c r="B3024">
        <v>12106.68</v>
      </c>
      <c r="C3024">
        <f t="shared" si="47"/>
        <v>4.9654985726941634</v>
      </c>
    </row>
    <row r="3025" spans="1:3" x14ac:dyDescent="0.15">
      <c r="A3025" s="22">
        <v>45520</v>
      </c>
      <c r="B3025">
        <v>12132.48</v>
      </c>
      <c r="C3025">
        <f t="shared" si="47"/>
        <v>4.9760803228664239</v>
      </c>
    </row>
    <row r="3026" spans="1:3" x14ac:dyDescent="0.15">
      <c r="A3026" s="22">
        <v>45523</v>
      </c>
      <c r="B3026">
        <v>12251.74</v>
      </c>
      <c r="C3026">
        <f t="shared" si="47"/>
        <v>5.0249942579650231</v>
      </c>
    </row>
    <row r="3027" spans="1:3" x14ac:dyDescent="0.15">
      <c r="A3027" s="22">
        <v>45524</v>
      </c>
      <c r="B3027">
        <v>12227.8</v>
      </c>
      <c r="C3027">
        <f t="shared" si="47"/>
        <v>5.0151753781540176</v>
      </c>
    </row>
    <row r="3028" spans="1:3" x14ac:dyDescent="0.15">
      <c r="A3028" s="22">
        <v>45525</v>
      </c>
      <c r="B3028">
        <v>12280.18</v>
      </c>
      <c r="C3028">
        <f t="shared" si="47"/>
        <v>5.0366587918758414</v>
      </c>
    </row>
    <row r="3029" spans="1:3" x14ac:dyDescent="0.15">
      <c r="A3029" s="22">
        <v>45526</v>
      </c>
      <c r="B3029">
        <v>12170.71</v>
      </c>
      <c r="C3029">
        <f t="shared" si="47"/>
        <v>4.9917601798077236</v>
      </c>
    </row>
    <row r="3030" spans="1:3" x14ac:dyDescent="0.15">
      <c r="A3030" s="22">
        <v>45527</v>
      </c>
      <c r="B3030">
        <v>12310.63</v>
      </c>
      <c r="C3030">
        <f t="shared" si="47"/>
        <v>5.0491477179512421</v>
      </c>
    </row>
    <row r="3031" spans="1:3" x14ac:dyDescent="0.15">
      <c r="A3031" s="22">
        <v>45530</v>
      </c>
      <c r="B3031">
        <v>12272.08</v>
      </c>
      <c r="C3031">
        <f t="shared" si="47"/>
        <v>5.0333366144961778</v>
      </c>
    </row>
    <row r="3032" spans="1:3" x14ac:dyDescent="0.15">
      <c r="A3032" s="22">
        <v>45531</v>
      </c>
      <c r="B3032">
        <v>12292.64</v>
      </c>
      <c r="C3032">
        <f t="shared" si="47"/>
        <v>5.0417692030055452</v>
      </c>
    </row>
    <row r="3033" spans="1:3" x14ac:dyDescent="0.15">
      <c r="A3033" s="22">
        <v>45532</v>
      </c>
      <c r="B3033">
        <v>12219.23</v>
      </c>
      <c r="C3033">
        <f t="shared" si="47"/>
        <v>5.0116604324572629</v>
      </c>
    </row>
    <row r="3034" spans="1:3" x14ac:dyDescent="0.15">
      <c r="A3034" s="22">
        <v>45533</v>
      </c>
      <c r="B3034">
        <v>12219.38</v>
      </c>
      <c r="C3034">
        <f t="shared" si="47"/>
        <v>5.0117219542605902</v>
      </c>
    </row>
    <row r="3035" spans="1:3" x14ac:dyDescent="0.15">
      <c r="A3035" s="22">
        <v>45534</v>
      </c>
      <c r="B3035">
        <v>12344.43</v>
      </c>
      <c r="C3035">
        <f t="shared" si="47"/>
        <v>5.0630106309676153</v>
      </c>
    </row>
    <row r="3036" spans="1:3" x14ac:dyDescent="0.15">
      <c r="A3036" s="22">
        <v>45538</v>
      </c>
      <c r="B3036">
        <v>12084.57</v>
      </c>
      <c r="C3036">
        <f t="shared" si="47"/>
        <v>4.9564302588837483</v>
      </c>
    </row>
    <row r="3037" spans="1:3" x14ac:dyDescent="0.15">
      <c r="A3037" s="22">
        <v>45539</v>
      </c>
      <c r="B3037">
        <v>12065.69</v>
      </c>
      <c r="C3037">
        <f t="shared" si="47"/>
        <v>4.9486867145716449</v>
      </c>
    </row>
    <row r="3038" spans="1:3" x14ac:dyDescent="0.15">
      <c r="A3038" s="22">
        <v>45540</v>
      </c>
      <c r="B3038">
        <v>12029.72</v>
      </c>
      <c r="C3038">
        <f t="shared" si="47"/>
        <v>4.9339337861338057</v>
      </c>
    </row>
    <row r="3039" spans="1:3" x14ac:dyDescent="0.15">
      <c r="A3039" s="22">
        <v>45541</v>
      </c>
      <c r="B3039">
        <v>11823.57</v>
      </c>
      <c r="C3039">
        <f t="shared" si="47"/>
        <v>4.8493823210945957</v>
      </c>
    </row>
    <row r="3040" spans="1:3" x14ac:dyDescent="0.15">
      <c r="A3040" s="22">
        <v>45544</v>
      </c>
      <c r="B3040">
        <v>11961.74</v>
      </c>
      <c r="C3040">
        <f t="shared" si="47"/>
        <v>4.9060521048659647</v>
      </c>
    </row>
    <row r="3041" spans="1:3" x14ac:dyDescent="0.15">
      <c r="A3041" s="22">
        <v>45545</v>
      </c>
      <c r="B3041">
        <v>12015.57</v>
      </c>
      <c r="C3041">
        <f t="shared" si="47"/>
        <v>4.9281302293532834</v>
      </c>
    </row>
    <row r="3042" spans="1:3" x14ac:dyDescent="0.15">
      <c r="A3042" s="22">
        <v>45546</v>
      </c>
      <c r="B3042">
        <v>12143.85</v>
      </c>
      <c r="C3042">
        <f t="shared" si="47"/>
        <v>4.9807436755586183</v>
      </c>
    </row>
    <row r="3043" spans="1:3" x14ac:dyDescent="0.15">
      <c r="A3043" s="22">
        <v>45547</v>
      </c>
      <c r="B3043">
        <v>12235.06</v>
      </c>
      <c r="C3043">
        <f t="shared" si="47"/>
        <v>5.0181530334350493</v>
      </c>
    </row>
    <row r="3044" spans="1:3" x14ac:dyDescent="0.15">
      <c r="A3044" s="22">
        <v>45548</v>
      </c>
      <c r="B3044">
        <v>12303.26</v>
      </c>
      <c r="C3044">
        <f t="shared" si="47"/>
        <v>5.046124946681104</v>
      </c>
    </row>
    <row r="3045" spans="1:3" x14ac:dyDescent="0.15">
      <c r="A3045" s="22">
        <v>45551</v>
      </c>
      <c r="B3045">
        <v>12321.21</v>
      </c>
      <c r="C3045">
        <f t="shared" si="47"/>
        <v>5.05348705581258</v>
      </c>
    </row>
    <row r="3046" spans="1:3" x14ac:dyDescent="0.15">
      <c r="A3046" s="22">
        <v>45552</v>
      </c>
      <c r="B3046">
        <v>12324.75</v>
      </c>
      <c r="C3046">
        <f t="shared" si="47"/>
        <v>5.0549389703710998</v>
      </c>
    </row>
    <row r="3047" spans="1:3" x14ac:dyDescent="0.15">
      <c r="A3047" s="22">
        <v>45553</v>
      </c>
      <c r="B3047">
        <v>12289.26</v>
      </c>
      <c r="C3047">
        <f t="shared" si="47"/>
        <v>5.0403829117039081</v>
      </c>
    </row>
    <row r="3048" spans="1:3" x14ac:dyDescent="0.15">
      <c r="A3048" s="22">
        <v>45554</v>
      </c>
      <c r="B3048">
        <v>12498.59</v>
      </c>
      <c r="C3048">
        <f t="shared" si="47"/>
        <v>5.1262386389736525</v>
      </c>
    </row>
    <row r="3049" spans="1:3" x14ac:dyDescent="0.15">
      <c r="A3049" s="22">
        <v>45555</v>
      </c>
      <c r="B3049">
        <v>12474.44</v>
      </c>
      <c r="C3049">
        <f t="shared" si="47"/>
        <v>5.1163336286379897</v>
      </c>
    </row>
    <row r="3050" spans="1:3" x14ac:dyDescent="0.15">
      <c r="A3050" s="22">
        <v>45558</v>
      </c>
      <c r="B3050">
        <v>12509.61</v>
      </c>
      <c r="C3050">
        <f t="shared" si="47"/>
        <v>5.1307584407914169</v>
      </c>
    </row>
    <row r="3051" spans="1:3" x14ac:dyDescent="0.15">
      <c r="A3051" s="22">
        <v>45559</v>
      </c>
      <c r="B3051">
        <v>12541.09</v>
      </c>
      <c r="C3051">
        <f t="shared" si="47"/>
        <v>5.1436698165829977</v>
      </c>
    </row>
    <row r="3052" spans="1:3" x14ac:dyDescent="0.15">
      <c r="A3052" s="22">
        <v>45560</v>
      </c>
      <c r="B3052">
        <v>12517.82</v>
      </c>
      <c r="C3052">
        <f t="shared" si="47"/>
        <v>5.1341257341601869</v>
      </c>
    </row>
    <row r="3053" spans="1:3" x14ac:dyDescent="0.15">
      <c r="A3053" s="22">
        <v>45561</v>
      </c>
      <c r="B3053">
        <v>12569.13</v>
      </c>
      <c r="C3053">
        <f t="shared" si="47"/>
        <v>5.1551702923516096</v>
      </c>
    </row>
    <row r="3054" spans="1:3" x14ac:dyDescent="0.15">
      <c r="A3054" s="22">
        <v>45562</v>
      </c>
      <c r="B3054">
        <v>12553.78</v>
      </c>
      <c r="C3054">
        <f t="shared" si="47"/>
        <v>5.1488745611444706</v>
      </c>
    </row>
    <row r="3055" spans="1:3" x14ac:dyDescent="0.15">
      <c r="A3055" s="22">
        <v>45565</v>
      </c>
      <c r="B3055">
        <v>12608.07</v>
      </c>
      <c r="C3055">
        <f t="shared" si="47"/>
        <v>5.1711413524953249</v>
      </c>
    </row>
    <row r="3056" spans="1:3" x14ac:dyDescent="0.15">
      <c r="A3056" s="22">
        <v>45566</v>
      </c>
      <c r="B3056">
        <v>12490.87</v>
      </c>
      <c r="C3056">
        <f t="shared" si="47"/>
        <v>5.1230723168290853</v>
      </c>
    </row>
    <row r="3057" spans="1:3" x14ac:dyDescent="0.15">
      <c r="A3057" s="22">
        <v>45567</v>
      </c>
      <c r="B3057">
        <v>12493.35</v>
      </c>
      <c r="C3057">
        <f t="shared" si="47"/>
        <v>5.1240894773107595</v>
      </c>
    </row>
    <row r="3058" spans="1:3" x14ac:dyDescent="0.15">
      <c r="A3058" s="22">
        <v>45568</v>
      </c>
      <c r="B3058">
        <v>12472.39</v>
      </c>
      <c r="C3058">
        <f t="shared" si="47"/>
        <v>5.1154928306591856</v>
      </c>
    </row>
    <row r="3059" spans="1:3" x14ac:dyDescent="0.15">
      <c r="A3059" s="22">
        <v>45569</v>
      </c>
      <c r="B3059">
        <v>12586.91</v>
      </c>
      <c r="C3059">
        <f t="shared" si="47"/>
        <v>5.1624626767726483</v>
      </c>
    </row>
    <row r="3060" spans="1:3" x14ac:dyDescent="0.15">
      <c r="A3060" s="22">
        <v>45572</v>
      </c>
      <c r="B3060">
        <v>12466.41</v>
      </c>
      <c r="C3060">
        <f t="shared" si="47"/>
        <v>5.1130401614332124</v>
      </c>
    </row>
    <row r="3061" spans="1:3" x14ac:dyDescent="0.15">
      <c r="A3061" s="22">
        <v>45573</v>
      </c>
      <c r="B3061">
        <v>12587.25</v>
      </c>
      <c r="C3061">
        <f t="shared" si="47"/>
        <v>5.1626021261935229</v>
      </c>
    </row>
    <row r="3062" spans="1:3" x14ac:dyDescent="0.15">
      <c r="A3062" s="22">
        <v>45574</v>
      </c>
      <c r="B3062">
        <v>12677.16</v>
      </c>
      <c r="C3062">
        <f t="shared" si="47"/>
        <v>5.1994782951077863</v>
      </c>
    </row>
    <row r="3063" spans="1:3" x14ac:dyDescent="0.15">
      <c r="A3063" s="22">
        <v>45575</v>
      </c>
      <c r="B3063">
        <v>12652.84</v>
      </c>
      <c r="C3063">
        <f t="shared" si="47"/>
        <v>5.1895035600616861</v>
      </c>
    </row>
    <row r="3064" spans="1:3" x14ac:dyDescent="0.15">
      <c r="A3064" s="22">
        <v>45576</v>
      </c>
      <c r="B3064">
        <v>12729.52</v>
      </c>
      <c r="C3064">
        <f t="shared" si="47"/>
        <v>5.2209535059224992</v>
      </c>
    </row>
    <row r="3065" spans="1:3" x14ac:dyDescent="0.15">
      <c r="A3065" s="22">
        <v>45579</v>
      </c>
      <c r="B3065">
        <v>12827.63</v>
      </c>
      <c r="C3065">
        <f t="shared" si="47"/>
        <v>5.2611928667519772</v>
      </c>
    </row>
    <row r="3066" spans="1:3" x14ac:dyDescent="0.15">
      <c r="A3066" s="22">
        <v>45580</v>
      </c>
      <c r="B3066">
        <v>12731.1</v>
      </c>
      <c r="C3066">
        <f t="shared" si="47"/>
        <v>5.2216015355842114</v>
      </c>
    </row>
    <row r="3067" spans="1:3" x14ac:dyDescent="0.15">
      <c r="A3067" s="22">
        <v>45581</v>
      </c>
      <c r="B3067">
        <v>12790.84</v>
      </c>
      <c r="C3067">
        <f t="shared" si="47"/>
        <v>5.2461036191226178</v>
      </c>
    </row>
    <row r="3068" spans="1:3" x14ac:dyDescent="0.15">
      <c r="A3068" s="22">
        <v>45582</v>
      </c>
      <c r="B3068">
        <v>12788.78</v>
      </c>
      <c r="C3068">
        <f t="shared" si="47"/>
        <v>5.2452587196902591</v>
      </c>
    </row>
    <row r="3069" spans="1:3" x14ac:dyDescent="0.15">
      <c r="A3069" s="22">
        <v>45583</v>
      </c>
      <c r="B3069">
        <v>12840.3</v>
      </c>
      <c r="C3069">
        <f t="shared" si="47"/>
        <v>5.2663894084063392</v>
      </c>
    </row>
    <row r="3070" spans="1:3" x14ac:dyDescent="0.15">
      <c r="A3070" s="22">
        <v>45586</v>
      </c>
      <c r="B3070">
        <v>12817.39</v>
      </c>
      <c r="C3070">
        <f t="shared" si="47"/>
        <v>5.2569929783115139</v>
      </c>
    </row>
    <row r="3071" spans="1:3" x14ac:dyDescent="0.15">
      <c r="A3071" s="22">
        <v>45587</v>
      </c>
      <c r="B3071">
        <v>12811.36</v>
      </c>
      <c r="C3071">
        <f t="shared" si="47"/>
        <v>5.2545198018177643</v>
      </c>
    </row>
    <row r="3072" spans="1:3" x14ac:dyDescent="0.15">
      <c r="A3072" s="22">
        <v>45588</v>
      </c>
      <c r="B3072">
        <v>12693.82</v>
      </c>
      <c r="C3072">
        <f t="shared" si="47"/>
        <v>5.2063113167306492</v>
      </c>
    </row>
    <row r="3073" spans="1:3" x14ac:dyDescent="0.15">
      <c r="A3073" s="22">
        <v>45589</v>
      </c>
      <c r="B3073">
        <v>12721.05</v>
      </c>
      <c r="C3073">
        <f t="shared" si="47"/>
        <v>5.2174795747612954</v>
      </c>
    </row>
    <row r="3074" spans="1:3" x14ac:dyDescent="0.15">
      <c r="A3074" s="22">
        <v>45590</v>
      </c>
      <c r="B3074">
        <v>12717.34</v>
      </c>
      <c r="C3074">
        <f t="shared" ref="C3074:C3137" si="48">(B3074 / $B$2)</f>
        <v>5.2159579354923391</v>
      </c>
    </row>
    <row r="3075" spans="1:3" x14ac:dyDescent="0.15">
      <c r="A3075" s="22">
        <v>45593</v>
      </c>
      <c r="B3075">
        <v>12751.22</v>
      </c>
      <c r="C3075">
        <f t="shared" si="48"/>
        <v>5.2298536601371524</v>
      </c>
    </row>
    <row r="3076" spans="1:3" x14ac:dyDescent="0.15">
      <c r="A3076" s="22">
        <v>45594</v>
      </c>
      <c r="B3076">
        <v>12771.8</v>
      </c>
      <c r="C3076">
        <f t="shared" si="48"/>
        <v>5.2382944515536307</v>
      </c>
    </row>
    <row r="3077" spans="1:3" x14ac:dyDescent="0.15">
      <c r="A3077" s="22">
        <v>45595</v>
      </c>
      <c r="B3077">
        <v>12729.73</v>
      </c>
      <c r="C3077">
        <f t="shared" si="48"/>
        <v>5.2210396364471574</v>
      </c>
    </row>
    <row r="3078" spans="1:3" x14ac:dyDescent="0.15">
      <c r="A3078" s="22">
        <v>45596</v>
      </c>
      <c r="B3078">
        <v>12493.74</v>
      </c>
      <c r="C3078">
        <f t="shared" si="48"/>
        <v>5.1242494339994096</v>
      </c>
    </row>
    <row r="3079" spans="1:3" x14ac:dyDescent="0.15">
      <c r="A3079" s="22">
        <v>45597</v>
      </c>
      <c r="B3079">
        <v>12545.4</v>
      </c>
      <c r="C3079">
        <f t="shared" si="48"/>
        <v>5.1454375430652624</v>
      </c>
    </row>
    <row r="3080" spans="1:3" x14ac:dyDescent="0.15">
      <c r="A3080" s="22">
        <v>45600</v>
      </c>
      <c r="B3080">
        <v>12510.73</v>
      </c>
      <c r="C3080">
        <f t="shared" si="48"/>
        <v>5.1312178035895926</v>
      </c>
    </row>
    <row r="3081" spans="1:3" x14ac:dyDescent="0.15">
      <c r="A3081" s="22">
        <v>45601</v>
      </c>
      <c r="B3081">
        <v>12664.32</v>
      </c>
      <c r="C3081">
        <f t="shared" si="48"/>
        <v>5.1942120287429869</v>
      </c>
    </row>
    <row r="3082" spans="1:3" x14ac:dyDescent="0.15">
      <c r="A3082" s="22">
        <v>45602</v>
      </c>
      <c r="B3082">
        <v>12984.73</v>
      </c>
      <c r="C3082">
        <f t="shared" si="48"/>
        <v>5.3256267021032251</v>
      </c>
    </row>
    <row r="3083" spans="1:3" x14ac:dyDescent="0.15">
      <c r="A3083" s="22">
        <v>45603</v>
      </c>
      <c r="B3083">
        <v>13081.53</v>
      </c>
      <c r="C3083">
        <f t="shared" si="48"/>
        <v>5.3653287725169809</v>
      </c>
    </row>
    <row r="3084" spans="1:3" x14ac:dyDescent="0.15">
      <c r="A3084" s="22">
        <v>45604</v>
      </c>
      <c r="B3084">
        <v>13133.47</v>
      </c>
      <c r="C3084">
        <f t="shared" si="48"/>
        <v>5.3866317222823765</v>
      </c>
    </row>
    <row r="3085" spans="1:3" x14ac:dyDescent="0.15">
      <c r="A3085" s="22">
        <v>45607</v>
      </c>
      <c r="B3085">
        <v>13146.2</v>
      </c>
      <c r="C3085">
        <f t="shared" si="48"/>
        <v>5.3918528726580703</v>
      </c>
    </row>
    <row r="3086" spans="1:3" x14ac:dyDescent="0.15">
      <c r="A3086" s="22">
        <v>45608</v>
      </c>
      <c r="B3086">
        <v>13108.95</v>
      </c>
      <c r="C3086">
        <f t="shared" si="48"/>
        <v>5.3765749581651745</v>
      </c>
    </row>
    <row r="3087" spans="1:3" x14ac:dyDescent="0.15">
      <c r="A3087" s="22">
        <v>45609</v>
      </c>
      <c r="B3087">
        <v>13112.57</v>
      </c>
      <c r="C3087">
        <f t="shared" si="48"/>
        <v>5.3780596843521344</v>
      </c>
    </row>
    <row r="3088" spans="1:3" x14ac:dyDescent="0.15">
      <c r="A3088" s="22">
        <v>45610</v>
      </c>
      <c r="B3088">
        <v>13034.79</v>
      </c>
      <c r="C3088">
        <f t="shared" si="48"/>
        <v>5.3461585786002566</v>
      </c>
    </row>
    <row r="3089" spans="1:3" x14ac:dyDescent="0.15">
      <c r="A3089" s="22">
        <v>45611</v>
      </c>
      <c r="B3089">
        <v>12864.42</v>
      </c>
      <c r="C3089">
        <f t="shared" si="48"/>
        <v>5.2762821143813374</v>
      </c>
    </row>
    <row r="3090" spans="1:3" x14ac:dyDescent="0.15">
      <c r="A3090" s="22">
        <v>45614</v>
      </c>
      <c r="B3090">
        <v>12916.8</v>
      </c>
      <c r="C3090">
        <f t="shared" si="48"/>
        <v>5.2977655281031595</v>
      </c>
    </row>
    <row r="3091" spans="1:3" x14ac:dyDescent="0.15">
      <c r="A3091" s="22">
        <v>45615</v>
      </c>
      <c r="B3091">
        <v>12968.16</v>
      </c>
      <c r="C3091">
        <f t="shared" si="48"/>
        <v>5.3188305935623585</v>
      </c>
    </row>
    <row r="3092" spans="1:3" x14ac:dyDescent="0.15">
      <c r="A3092" s="22">
        <v>45616</v>
      </c>
      <c r="B3092">
        <v>12968.85</v>
      </c>
      <c r="C3092">
        <f t="shared" si="48"/>
        <v>5.3191135938576632</v>
      </c>
    </row>
    <row r="3093" spans="1:3" x14ac:dyDescent="0.15">
      <c r="A3093" s="22">
        <v>45617</v>
      </c>
      <c r="B3093">
        <v>13040.08</v>
      </c>
      <c r="C3093">
        <f t="shared" si="48"/>
        <v>5.3483282475309251</v>
      </c>
    </row>
    <row r="3094" spans="1:3" x14ac:dyDescent="0.15">
      <c r="A3094" s="22">
        <v>45618</v>
      </c>
      <c r="B3094">
        <v>13085.86</v>
      </c>
      <c r="C3094">
        <f t="shared" si="48"/>
        <v>5.3671047019063565</v>
      </c>
    </row>
    <row r="3095" spans="1:3" x14ac:dyDescent="0.15">
      <c r="A3095" s="22">
        <v>45621</v>
      </c>
      <c r="B3095">
        <v>13125.46</v>
      </c>
      <c r="C3095">
        <f t="shared" si="48"/>
        <v>5.3833464579847101</v>
      </c>
    </row>
    <row r="3096" spans="1:3" x14ac:dyDescent="0.15">
      <c r="A3096" s="22">
        <v>45622</v>
      </c>
      <c r="B3096">
        <v>13201.47</v>
      </c>
      <c r="C3096">
        <f t="shared" si="48"/>
        <v>5.4145216064573285</v>
      </c>
    </row>
    <row r="3097" spans="1:3" x14ac:dyDescent="0.15">
      <c r="A3097" s="22">
        <v>45623</v>
      </c>
      <c r="B3097">
        <v>13152.08</v>
      </c>
      <c r="C3097">
        <f t="shared" si="48"/>
        <v>5.3942645273484926</v>
      </c>
    </row>
    <row r="3098" spans="1:3" x14ac:dyDescent="0.15">
      <c r="A3098" s="22">
        <v>45625</v>
      </c>
      <c r="B3098">
        <v>13227.13</v>
      </c>
      <c r="C3098">
        <f t="shared" si="48"/>
        <v>5.4250459362798171</v>
      </c>
    </row>
    <row r="3099" spans="1:3" x14ac:dyDescent="0.15">
      <c r="A3099" s="22">
        <v>45628</v>
      </c>
      <c r="B3099">
        <v>13261.08</v>
      </c>
      <c r="C3099">
        <f t="shared" si="48"/>
        <v>5.4389703710995176</v>
      </c>
    </row>
    <row r="3100" spans="1:3" x14ac:dyDescent="0.15">
      <c r="A3100" s="22">
        <v>45629</v>
      </c>
      <c r="B3100">
        <v>13267.33</v>
      </c>
      <c r="C3100">
        <f t="shared" si="48"/>
        <v>5.44153377957148</v>
      </c>
    </row>
    <row r="3101" spans="1:3" x14ac:dyDescent="0.15">
      <c r="A3101" s="22">
        <v>45630</v>
      </c>
      <c r="B3101">
        <v>13347.88</v>
      </c>
      <c r="C3101">
        <f t="shared" si="48"/>
        <v>5.4745709879581321</v>
      </c>
    </row>
    <row r="3102" spans="1:3" x14ac:dyDescent="0.15">
      <c r="A3102" s="22">
        <v>45631</v>
      </c>
      <c r="B3102">
        <v>13323.74</v>
      </c>
      <c r="C3102">
        <f t="shared" si="48"/>
        <v>5.4646700790760248</v>
      </c>
    </row>
    <row r="3103" spans="1:3" x14ac:dyDescent="0.15">
      <c r="A3103" s="22">
        <v>45632</v>
      </c>
      <c r="B3103">
        <v>13358.5</v>
      </c>
      <c r="C3103">
        <f t="shared" si="48"/>
        <v>5.4789267316336909</v>
      </c>
    </row>
    <row r="3104" spans="1:3" x14ac:dyDescent="0.15">
      <c r="A3104" s="22">
        <v>45635</v>
      </c>
      <c r="B3104">
        <v>13278.29</v>
      </c>
      <c r="C3104">
        <f t="shared" si="48"/>
        <v>5.4460289726679143</v>
      </c>
    </row>
    <row r="3105" spans="1:3" x14ac:dyDescent="0.15">
      <c r="A3105" s="22">
        <v>45636</v>
      </c>
      <c r="B3105">
        <v>13239.21</v>
      </c>
      <c r="C3105">
        <f t="shared" si="48"/>
        <v>5.4300004921744263</v>
      </c>
    </row>
    <row r="3106" spans="1:3" x14ac:dyDescent="0.15">
      <c r="A3106" s="22">
        <v>45637</v>
      </c>
      <c r="B3106">
        <v>13347.51</v>
      </c>
      <c r="C3106">
        <f t="shared" si="48"/>
        <v>5.4744192341765929</v>
      </c>
    </row>
    <row r="3107" spans="1:3" x14ac:dyDescent="0.15">
      <c r="A3107" s="22">
        <v>45638</v>
      </c>
      <c r="B3107">
        <v>13275.24</v>
      </c>
      <c r="C3107">
        <f t="shared" si="48"/>
        <v>5.4447780293335963</v>
      </c>
    </row>
    <row r="3108" spans="1:3" x14ac:dyDescent="0.15">
      <c r="A3108" s="22">
        <v>45639</v>
      </c>
      <c r="B3108">
        <v>13276.56</v>
      </c>
      <c r="C3108">
        <f t="shared" si="48"/>
        <v>5.4453194212028748</v>
      </c>
    </row>
    <row r="3109" spans="1:3" x14ac:dyDescent="0.15">
      <c r="A3109" s="22">
        <v>45642</v>
      </c>
      <c r="B3109">
        <v>13328.78</v>
      </c>
      <c r="C3109">
        <f t="shared" si="48"/>
        <v>5.4667372116678159</v>
      </c>
    </row>
    <row r="3110" spans="1:3" x14ac:dyDescent="0.15">
      <c r="A3110" s="22">
        <v>45643</v>
      </c>
      <c r="B3110">
        <v>13277.55</v>
      </c>
      <c r="C3110">
        <f t="shared" si="48"/>
        <v>5.4457254651048332</v>
      </c>
    </row>
    <row r="3111" spans="1:3" x14ac:dyDescent="0.15">
      <c r="A3111" s="22">
        <v>45644</v>
      </c>
      <c r="B3111">
        <v>12886.21</v>
      </c>
      <c r="C3111">
        <f t="shared" si="48"/>
        <v>5.285219181677987</v>
      </c>
    </row>
    <row r="3112" spans="1:3" x14ac:dyDescent="0.15">
      <c r="A3112" s="22">
        <v>45645</v>
      </c>
      <c r="B3112">
        <v>12875.09</v>
      </c>
      <c r="C3112">
        <f t="shared" si="48"/>
        <v>5.2806583653246717</v>
      </c>
    </row>
    <row r="3113" spans="1:3" x14ac:dyDescent="0.15">
      <c r="A3113" s="22">
        <v>45646</v>
      </c>
      <c r="B3113">
        <v>13015.66</v>
      </c>
      <c r="C3113">
        <f t="shared" si="48"/>
        <v>5.3383124979492731</v>
      </c>
    </row>
    <row r="3114" spans="1:3" x14ac:dyDescent="0.15">
      <c r="A3114" s="22">
        <v>45649</v>
      </c>
      <c r="B3114">
        <v>13111.3</v>
      </c>
      <c r="C3114">
        <f t="shared" si="48"/>
        <v>5.3775387997506314</v>
      </c>
    </row>
    <row r="3115" spans="1:3" x14ac:dyDescent="0.15">
      <c r="A3115" s="22">
        <v>45650</v>
      </c>
      <c r="B3115">
        <v>13256.07</v>
      </c>
      <c r="C3115">
        <f t="shared" si="48"/>
        <v>5.4369155428683928</v>
      </c>
    </row>
    <row r="3116" spans="1:3" x14ac:dyDescent="0.15">
      <c r="A3116" s="22">
        <v>45652</v>
      </c>
      <c r="B3116">
        <v>13251.76</v>
      </c>
      <c r="C3116">
        <f t="shared" si="48"/>
        <v>5.4351478163861273</v>
      </c>
    </row>
    <row r="3117" spans="1:3" x14ac:dyDescent="0.15">
      <c r="A3117" s="22">
        <v>45653</v>
      </c>
      <c r="B3117">
        <v>13106.39</v>
      </c>
      <c r="C3117">
        <f t="shared" si="48"/>
        <v>5.3755249860550576</v>
      </c>
    </row>
    <row r="3118" spans="1:3" x14ac:dyDescent="0.15">
      <c r="A3118" s="22">
        <v>45656</v>
      </c>
      <c r="B3118">
        <v>12966.22</v>
      </c>
      <c r="C3118">
        <f t="shared" si="48"/>
        <v>5.3180349115726617</v>
      </c>
    </row>
    <row r="3119" spans="1:3" x14ac:dyDescent="0.15">
      <c r="A3119" s="22">
        <v>45657</v>
      </c>
      <c r="B3119">
        <v>12911.82</v>
      </c>
      <c r="C3119">
        <f t="shared" si="48"/>
        <v>5.2957230042327001</v>
      </c>
    </row>
    <row r="3120" spans="1:3" x14ac:dyDescent="0.15">
      <c r="A3120" s="22">
        <v>45659</v>
      </c>
      <c r="B3120">
        <v>12883.58</v>
      </c>
      <c r="C3120">
        <f t="shared" si="48"/>
        <v>5.2841404993929855</v>
      </c>
    </row>
    <row r="3121" spans="1:3" x14ac:dyDescent="0.15">
      <c r="A3121" s="22">
        <v>45660</v>
      </c>
      <c r="B3121">
        <v>13046.88</v>
      </c>
      <c r="C3121">
        <f t="shared" si="48"/>
        <v>5.3511172359484203</v>
      </c>
    </row>
    <row r="3122" spans="1:3" x14ac:dyDescent="0.15">
      <c r="A3122" s="22">
        <v>45663</v>
      </c>
      <c r="B3122">
        <v>13120.14</v>
      </c>
      <c r="C3122">
        <f t="shared" si="48"/>
        <v>5.3811644846933753</v>
      </c>
    </row>
    <row r="3123" spans="1:3" x14ac:dyDescent="0.15">
      <c r="A3123" s="22">
        <v>45664</v>
      </c>
      <c r="B3123">
        <v>12974.59</v>
      </c>
      <c r="C3123">
        <f t="shared" si="48"/>
        <v>5.3214678281983137</v>
      </c>
    </row>
    <row r="3124" spans="1:3" x14ac:dyDescent="0.15">
      <c r="A3124" s="22">
        <v>45665</v>
      </c>
      <c r="B3124">
        <v>12995.13</v>
      </c>
      <c r="C3124">
        <f t="shared" si="48"/>
        <v>5.3298922138005711</v>
      </c>
    </row>
    <row r="3125" spans="1:3" x14ac:dyDescent="0.15">
      <c r="A3125" s="22">
        <v>45667</v>
      </c>
      <c r="B3125">
        <v>12797.39</v>
      </c>
      <c r="C3125">
        <f t="shared" si="48"/>
        <v>5.2487900712012339</v>
      </c>
    </row>
    <row r="3126" spans="1:3" x14ac:dyDescent="0.15">
      <c r="A3126" s="22">
        <v>45670</v>
      </c>
      <c r="B3126">
        <v>12817.56</v>
      </c>
      <c r="C3126">
        <f t="shared" si="48"/>
        <v>5.2570627030219512</v>
      </c>
    </row>
    <row r="3127" spans="1:3" x14ac:dyDescent="0.15">
      <c r="A3127" s="22">
        <v>45671</v>
      </c>
      <c r="B3127">
        <v>12832.29</v>
      </c>
      <c r="C3127">
        <f t="shared" si="48"/>
        <v>5.2631041441086728</v>
      </c>
    </row>
    <row r="3128" spans="1:3" x14ac:dyDescent="0.15">
      <c r="A3128" s="22">
        <v>45672</v>
      </c>
      <c r="B3128">
        <v>13068.56</v>
      </c>
      <c r="C3128">
        <f t="shared" si="48"/>
        <v>5.3600091872559634</v>
      </c>
    </row>
    <row r="3129" spans="1:3" x14ac:dyDescent="0.15">
      <c r="A3129" s="22">
        <v>45673</v>
      </c>
      <c r="B3129">
        <v>13041.19</v>
      </c>
      <c r="C3129">
        <f t="shared" si="48"/>
        <v>5.3487835088755462</v>
      </c>
    </row>
    <row r="3130" spans="1:3" x14ac:dyDescent="0.15">
      <c r="A3130" s="22">
        <v>45674</v>
      </c>
      <c r="B3130">
        <v>13171.75</v>
      </c>
      <c r="C3130">
        <f t="shared" si="48"/>
        <v>5.4023320864914526</v>
      </c>
    </row>
    <row r="3131" spans="1:3" x14ac:dyDescent="0.15">
      <c r="A3131" s="22">
        <v>45678</v>
      </c>
      <c r="B3131">
        <v>13287.58</v>
      </c>
      <c r="C3131">
        <f t="shared" si="48"/>
        <v>5.4498392230206392</v>
      </c>
    </row>
    <row r="3132" spans="1:3" x14ac:dyDescent="0.15">
      <c r="A3132" s="22">
        <v>45679</v>
      </c>
      <c r="B3132">
        <v>13369.36</v>
      </c>
      <c r="C3132">
        <f t="shared" si="48"/>
        <v>5.4833809101945734</v>
      </c>
    </row>
    <row r="3133" spans="1:3" x14ac:dyDescent="0.15">
      <c r="A3133" s="22">
        <v>45680</v>
      </c>
      <c r="B3133">
        <v>13440.61</v>
      </c>
      <c r="C3133">
        <f t="shared" si="48"/>
        <v>5.5126037667749452</v>
      </c>
    </row>
    <row r="3134" spans="1:3" x14ac:dyDescent="0.15">
      <c r="A3134" s="22">
        <v>45681</v>
      </c>
      <c r="B3134">
        <v>13403.51</v>
      </c>
      <c r="C3134">
        <f t="shared" si="48"/>
        <v>5.4973873740853767</v>
      </c>
    </row>
    <row r="3135" spans="1:3" x14ac:dyDescent="0.15">
      <c r="A3135" s="22">
        <v>45684</v>
      </c>
      <c r="B3135">
        <v>13208.19</v>
      </c>
      <c r="C3135">
        <f t="shared" si="48"/>
        <v>5.4172777832463828</v>
      </c>
    </row>
    <row r="3136" spans="1:3" x14ac:dyDescent="0.15">
      <c r="A3136" s="22">
        <v>45685</v>
      </c>
      <c r="B3136">
        <v>13329.95</v>
      </c>
      <c r="C3136">
        <f t="shared" si="48"/>
        <v>5.4672170817337671</v>
      </c>
    </row>
    <row r="3137" spans="1:3" x14ac:dyDescent="0.15">
      <c r="A3137" s="22">
        <v>45686</v>
      </c>
      <c r="B3137">
        <v>13267.65</v>
      </c>
      <c r="C3137">
        <f t="shared" si="48"/>
        <v>5.4416650260852446</v>
      </c>
    </row>
    <row r="3138" spans="1:3" x14ac:dyDescent="0.15">
      <c r="A3138" s="22">
        <v>45687</v>
      </c>
      <c r="B3138">
        <v>13337.85</v>
      </c>
      <c r="C3138">
        <f t="shared" ref="C3138:C3201" si="49">(B3138 / $B$2)</f>
        <v>5.4704572300423271</v>
      </c>
    </row>
    <row r="3139" spans="1:3" x14ac:dyDescent="0.15">
      <c r="A3139" s="22">
        <v>45688</v>
      </c>
      <c r="B3139">
        <v>13271.38</v>
      </c>
      <c r="C3139">
        <f t="shared" si="49"/>
        <v>5.4431948682613118</v>
      </c>
    </row>
    <row r="3140" spans="1:3" x14ac:dyDescent="0.15">
      <c r="A3140" s="22">
        <v>45691</v>
      </c>
      <c r="B3140">
        <v>13171.21</v>
      </c>
      <c r="C3140">
        <f t="shared" si="49"/>
        <v>5.4021106079994752</v>
      </c>
    </row>
    <row r="3141" spans="1:3" x14ac:dyDescent="0.15">
      <c r="A3141" s="22">
        <v>45692</v>
      </c>
      <c r="B3141">
        <v>13266.45</v>
      </c>
      <c r="C3141">
        <f t="shared" si="49"/>
        <v>5.4411728516586289</v>
      </c>
    </row>
    <row r="3142" spans="1:3" x14ac:dyDescent="0.15">
      <c r="A3142" s="22">
        <v>45693</v>
      </c>
      <c r="B3142">
        <v>13318.43</v>
      </c>
      <c r="C3142">
        <f t="shared" si="49"/>
        <v>5.4624922072382454</v>
      </c>
    </row>
    <row r="3143" spans="1:3" x14ac:dyDescent="0.15">
      <c r="A3143" s="22">
        <v>45694</v>
      </c>
      <c r="B3143">
        <v>13366.96</v>
      </c>
      <c r="C3143">
        <f t="shared" si="49"/>
        <v>5.4823965613413392</v>
      </c>
    </row>
    <row r="3144" spans="1:3" x14ac:dyDescent="0.15">
      <c r="A3144" s="22">
        <v>45695</v>
      </c>
      <c r="B3144">
        <v>13241.34</v>
      </c>
      <c r="C3144">
        <f t="shared" si="49"/>
        <v>5.4308741017816722</v>
      </c>
    </row>
    <row r="3145" spans="1:3" x14ac:dyDescent="0.15">
      <c r="A3145" s="22">
        <v>45698</v>
      </c>
      <c r="B3145">
        <v>13332.15</v>
      </c>
      <c r="C3145">
        <f t="shared" si="49"/>
        <v>5.4681194015158976</v>
      </c>
    </row>
    <row r="3146" spans="1:3" x14ac:dyDescent="0.15">
      <c r="A3146" s="22">
        <v>45699</v>
      </c>
      <c r="B3146">
        <v>13337</v>
      </c>
      <c r="C3146">
        <f t="shared" si="49"/>
        <v>5.4701086064901405</v>
      </c>
    </row>
    <row r="3147" spans="1:3" x14ac:dyDescent="0.15">
      <c r="A3147" s="22">
        <v>45700</v>
      </c>
      <c r="B3147">
        <v>13302.1</v>
      </c>
      <c r="C3147">
        <f t="shared" si="49"/>
        <v>5.4557945335827025</v>
      </c>
    </row>
    <row r="3148" spans="1:3" x14ac:dyDescent="0.15">
      <c r="A3148" s="22">
        <v>45701</v>
      </c>
      <c r="B3148">
        <v>13440.93</v>
      </c>
      <c r="C3148">
        <f t="shared" si="49"/>
        <v>5.5127350132887099</v>
      </c>
    </row>
    <row r="3149" spans="1:3" x14ac:dyDescent="0.15">
      <c r="A3149" s="22">
        <v>45702</v>
      </c>
      <c r="B3149">
        <v>13443.1</v>
      </c>
      <c r="C3149">
        <f t="shared" si="49"/>
        <v>5.5136250287101758</v>
      </c>
    </row>
    <row r="3150" spans="1:3" x14ac:dyDescent="0.15">
      <c r="A3150" s="22">
        <v>45706</v>
      </c>
      <c r="B3150">
        <v>13478.02</v>
      </c>
      <c r="C3150">
        <f t="shared" si="49"/>
        <v>5.5279473045247238</v>
      </c>
    </row>
    <row r="3151" spans="1:3" x14ac:dyDescent="0.15">
      <c r="A3151" s="22">
        <v>45707</v>
      </c>
      <c r="B3151">
        <v>13510.29</v>
      </c>
      <c r="C3151">
        <f t="shared" si="49"/>
        <v>5.5411826951471612</v>
      </c>
    </row>
    <row r="3152" spans="1:3" x14ac:dyDescent="0.15">
      <c r="A3152" s="22">
        <v>45708</v>
      </c>
      <c r="B3152">
        <v>13453.54</v>
      </c>
      <c r="C3152">
        <f t="shared" si="49"/>
        <v>5.5179069462217418</v>
      </c>
    </row>
    <row r="3153" spans="1:3" x14ac:dyDescent="0.15">
      <c r="A3153" s="22">
        <v>45709</v>
      </c>
      <c r="B3153">
        <v>13224.45</v>
      </c>
      <c r="C3153">
        <f t="shared" si="49"/>
        <v>5.423946746727041</v>
      </c>
    </row>
    <row r="3154" spans="1:3" x14ac:dyDescent="0.15">
      <c r="A3154" s="22">
        <v>45712</v>
      </c>
      <c r="B3154">
        <v>13159.21</v>
      </c>
      <c r="C3154">
        <f t="shared" si="49"/>
        <v>5.397188863733307</v>
      </c>
    </row>
    <row r="3155" spans="1:3" x14ac:dyDescent="0.15">
      <c r="A3155" s="22">
        <v>45713</v>
      </c>
      <c r="B3155">
        <v>13097.85</v>
      </c>
      <c r="C3155">
        <f t="shared" si="49"/>
        <v>5.3720223447189692</v>
      </c>
    </row>
    <row r="3156" spans="1:3" x14ac:dyDescent="0.15">
      <c r="A3156" s="22">
        <v>45714</v>
      </c>
      <c r="B3156">
        <v>13099.91</v>
      </c>
      <c r="C3156">
        <f t="shared" si="49"/>
        <v>5.3728672441513279</v>
      </c>
    </row>
    <row r="3157" spans="1:3" x14ac:dyDescent="0.15">
      <c r="A3157" s="22">
        <v>45715</v>
      </c>
      <c r="B3157">
        <v>12892.2</v>
      </c>
      <c r="C3157">
        <f t="shared" si="49"/>
        <v>5.2876759523575165</v>
      </c>
    </row>
    <row r="3158" spans="1:3" x14ac:dyDescent="0.15">
      <c r="A3158" s="22">
        <v>45716</v>
      </c>
      <c r="B3158">
        <v>13098.22</v>
      </c>
      <c r="C3158">
        <f t="shared" si="49"/>
        <v>5.3721740985005084</v>
      </c>
    </row>
    <row r="3159" spans="1:3" x14ac:dyDescent="0.15">
      <c r="A3159" s="22">
        <v>45719</v>
      </c>
      <c r="B3159">
        <v>12868.95</v>
      </c>
      <c r="C3159">
        <f t="shared" si="49"/>
        <v>5.2781400728418157</v>
      </c>
    </row>
    <row r="3160" spans="1:3" x14ac:dyDescent="0.15">
      <c r="A3160" s="22">
        <v>45720</v>
      </c>
      <c r="B3160">
        <v>12711.86</v>
      </c>
      <c r="C3160">
        <f t="shared" si="49"/>
        <v>5.2137103389441224</v>
      </c>
    </row>
    <row r="3161" spans="1:3" x14ac:dyDescent="0.15">
      <c r="A3161" s="22">
        <v>45721</v>
      </c>
      <c r="B3161">
        <v>12853.99</v>
      </c>
      <c r="C3161">
        <f t="shared" si="49"/>
        <v>5.272004298323326</v>
      </c>
    </row>
    <row r="3162" spans="1:3" x14ac:dyDescent="0.15">
      <c r="A3162" s="22">
        <v>45722</v>
      </c>
      <c r="B3162">
        <v>12625.31</v>
      </c>
      <c r="C3162">
        <f t="shared" si="49"/>
        <v>5.1782122584243853</v>
      </c>
    </row>
    <row r="3163" spans="1:3" x14ac:dyDescent="0.15">
      <c r="A3163" s="22">
        <v>45723</v>
      </c>
      <c r="B3163">
        <v>12696.9</v>
      </c>
      <c r="C3163">
        <f t="shared" si="49"/>
        <v>5.2075745644256326</v>
      </c>
    </row>
    <row r="3164" spans="1:3" x14ac:dyDescent="0.15">
      <c r="A3164" s="22">
        <v>45726</v>
      </c>
      <c r="B3164">
        <v>12356.69</v>
      </c>
      <c r="C3164">
        <f t="shared" si="49"/>
        <v>5.0680390130262172</v>
      </c>
    </row>
    <row r="3165" spans="1:3" x14ac:dyDescent="0.15">
      <c r="A3165" s="22">
        <v>45727</v>
      </c>
      <c r="B3165">
        <v>12263.31</v>
      </c>
      <c r="C3165">
        <f t="shared" si="49"/>
        <v>5.0297396397283194</v>
      </c>
    </row>
    <row r="3166" spans="1:3" x14ac:dyDescent="0.15">
      <c r="A3166" s="22">
        <v>45728</v>
      </c>
      <c r="B3166">
        <v>12323.5</v>
      </c>
      <c r="C3166">
        <f t="shared" si="49"/>
        <v>5.0544262886767077</v>
      </c>
    </row>
    <row r="3167" spans="1:3" x14ac:dyDescent="0.15">
      <c r="A3167" s="22">
        <v>45729</v>
      </c>
      <c r="B3167">
        <v>12153.33</v>
      </c>
      <c r="C3167">
        <f t="shared" si="49"/>
        <v>4.9846318535288905</v>
      </c>
    </row>
    <row r="3168" spans="1:3" x14ac:dyDescent="0.15">
      <c r="A3168" s="22">
        <v>45730</v>
      </c>
      <c r="B3168">
        <v>12414.28</v>
      </c>
      <c r="C3168">
        <f t="shared" si="49"/>
        <v>5.0916592840502677</v>
      </c>
    </row>
    <row r="3169" spans="1:3" x14ac:dyDescent="0.15">
      <c r="A3169" s="22">
        <v>45733</v>
      </c>
      <c r="B3169">
        <v>12494.82</v>
      </c>
      <c r="C3169">
        <f t="shared" si="49"/>
        <v>5.1246923909833644</v>
      </c>
    </row>
    <row r="3170" spans="1:3" x14ac:dyDescent="0.15">
      <c r="A3170" s="22">
        <v>45734</v>
      </c>
      <c r="B3170">
        <v>12362.16</v>
      </c>
      <c r="C3170">
        <f t="shared" si="49"/>
        <v>5.0702825081208784</v>
      </c>
    </row>
    <row r="3171" spans="1:3" x14ac:dyDescent="0.15">
      <c r="A3171" s="22">
        <v>45735</v>
      </c>
      <c r="B3171">
        <v>12495.74</v>
      </c>
      <c r="C3171">
        <f t="shared" si="49"/>
        <v>5.1250697247104373</v>
      </c>
    </row>
    <row r="3172" spans="1:3" x14ac:dyDescent="0.15">
      <c r="A3172" s="22">
        <v>45736</v>
      </c>
      <c r="B3172">
        <v>12469.97</v>
      </c>
      <c r="C3172">
        <f t="shared" si="49"/>
        <v>5.1145002788988414</v>
      </c>
    </row>
    <row r="3173" spans="1:3" x14ac:dyDescent="0.15">
      <c r="A3173" s="22">
        <v>45737</v>
      </c>
      <c r="B3173">
        <v>12480.59</v>
      </c>
      <c r="C3173">
        <f t="shared" si="49"/>
        <v>5.1188560225744011</v>
      </c>
    </row>
    <row r="3174" spans="1:3" x14ac:dyDescent="0.15">
      <c r="A3174" s="22">
        <v>45740</v>
      </c>
      <c r="B3174">
        <v>12700.91</v>
      </c>
      <c r="C3174">
        <f t="shared" si="49"/>
        <v>5.2092192473012435</v>
      </c>
    </row>
    <row r="3175" spans="1:3" x14ac:dyDescent="0.15">
      <c r="A3175" s="22">
        <v>45741</v>
      </c>
      <c r="B3175">
        <v>12721.41</v>
      </c>
      <c r="C3175">
        <f t="shared" si="49"/>
        <v>5.217627227089281</v>
      </c>
    </row>
    <row r="3176" spans="1:3" x14ac:dyDescent="0.15">
      <c r="A3176" s="22">
        <v>45742</v>
      </c>
      <c r="B3176">
        <v>12579.48</v>
      </c>
      <c r="C3176">
        <f t="shared" si="49"/>
        <v>5.1594152967811793</v>
      </c>
    </row>
    <row r="3177" spans="1:3" x14ac:dyDescent="0.15">
      <c r="A3177" s="22">
        <v>45743</v>
      </c>
      <c r="B3177">
        <v>12537.93</v>
      </c>
      <c r="C3177">
        <f t="shared" si="49"/>
        <v>5.1423737572595734</v>
      </c>
    </row>
    <row r="3178" spans="1:3" x14ac:dyDescent="0.15">
      <c r="A3178" s="22">
        <v>45744</v>
      </c>
      <c r="B3178">
        <v>12290.86</v>
      </c>
      <c r="C3178">
        <f t="shared" si="49"/>
        <v>5.0410391442727311</v>
      </c>
    </row>
    <row r="3179" spans="1:3" x14ac:dyDescent="0.15">
      <c r="A3179" s="22">
        <v>45747</v>
      </c>
      <c r="B3179">
        <v>12360.21</v>
      </c>
      <c r="C3179">
        <f t="shared" si="49"/>
        <v>5.0694827246776253</v>
      </c>
    </row>
    <row r="3180" spans="1:3" x14ac:dyDescent="0.15">
      <c r="A3180" s="22">
        <v>45748</v>
      </c>
      <c r="B3180">
        <v>12407.26</v>
      </c>
      <c r="C3180">
        <f t="shared" si="49"/>
        <v>5.0887800636545597</v>
      </c>
    </row>
    <row r="3181" spans="1:3" x14ac:dyDescent="0.15">
      <c r="A3181" s="22">
        <v>45749</v>
      </c>
      <c r="B3181">
        <v>12491.1</v>
      </c>
      <c r="C3181">
        <f t="shared" si="49"/>
        <v>5.1231666502608526</v>
      </c>
    </row>
    <row r="3182" spans="1:3" x14ac:dyDescent="0.15">
      <c r="A3182" s="22">
        <v>45750</v>
      </c>
      <c r="B3182">
        <v>11887.15</v>
      </c>
      <c r="C3182">
        <f t="shared" si="49"/>
        <v>4.8754593627981757</v>
      </c>
    </row>
    <row r="3183" spans="1:3" x14ac:dyDescent="0.15">
      <c r="A3183" s="22">
        <v>45751</v>
      </c>
      <c r="B3183">
        <v>11178.48</v>
      </c>
      <c r="C3183">
        <f t="shared" si="49"/>
        <v>4.5848016537060738</v>
      </c>
    </row>
    <row r="3184" spans="1:3" x14ac:dyDescent="0.15">
      <c r="A3184" s="22">
        <v>45754</v>
      </c>
      <c r="B3184">
        <v>11152.56</v>
      </c>
      <c r="C3184">
        <f t="shared" si="49"/>
        <v>4.5741706860911506</v>
      </c>
    </row>
    <row r="3185" spans="1:3" x14ac:dyDescent="0.15">
      <c r="A3185" s="22">
        <v>45755</v>
      </c>
      <c r="B3185">
        <v>10977.5</v>
      </c>
      <c r="C3185">
        <f t="shared" si="49"/>
        <v>4.5023706401548713</v>
      </c>
    </row>
    <row r="3186" spans="1:3" x14ac:dyDescent="0.15">
      <c r="A3186" s="22">
        <v>45756</v>
      </c>
      <c r="B3186">
        <v>12022.21</v>
      </c>
      <c r="C3186">
        <f t="shared" si="49"/>
        <v>4.9308535945138958</v>
      </c>
    </row>
    <row r="3187" spans="1:3" x14ac:dyDescent="0.15">
      <c r="A3187" s="22">
        <v>45757</v>
      </c>
      <c r="B3187">
        <v>11608.22</v>
      </c>
      <c r="C3187">
        <f t="shared" si="49"/>
        <v>4.7610575187846571</v>
      </c>
    </row>
    <row r="3188" spans="1:3" x14ac:dyDescent="0.15">
      <c r="A3188" s="22">
        <v>45758</v>
      </c>
      <c r="B3188">
        <v>11818.53</v>
      </c>
      <c r="C3188">
        <f t="shared" si="49"/>
        <v>4.8473151885028063</v>
      </c>
    </row>
    <row r="3189" spans="1:3" x14ac:dyDescent="0.15">
      <c r="A3189" s="22">
        <v>45761</v>
      </c>
      <c r="B3189">
        <v>11912.45</v>
      </c>
      <c r="C3189">
        <f t="shared" si="49"/>
        <v>4.8858360402926806</v>
      </c>
    </row>
    <row r="3190" spans="1:3" x14ac:dyDescent="0.15">
      <c r="A3190" s="22">
        <v>45762</v>
      </c>
      <c r="B3190">
        <v>11892.99</v>
      </c>
      <c r="C3190">
        <f t="shared" si="49"/>
        <v>4.8778546116743779</v>
      </c>
    </row>
    <row r="3191" spans="1:3" x14ac:dyDescent="0.15">
      <c r="A3191" s="22">
        <v>45763</v>
      </c>
      <c r="B3191">
        <v>11626.79</v>
      </c>
      <c r="C3191">
        <f t="shared" si="49"/>
        <v>4.7686739180365532</v>
      </c>
    </row>
    <row r="3192" spans="1:3" x14ac:dyDescent="0.15">
      <c r="A3192" s="22">
        <v>45764</v>
      </c>
      <c r="B3192">
        <v>11642.4</v>
      </c>
      <c r="C3192">
        <f t="shared" si="49"/>
        <v>4.7750762870361259</v>
      </c>
    </row>
    <row r="3193" spans="1:3" x14ac:dyDescent="0.15">
      <c r="A3193" s="22">
        <v>45768</v>
      </c>
      <c r="B3193">
        <v>11368.98</v>
      </c>
      <c r="C3193">
        <f t="shared" si="49"/>
        <v>4.6629343439314894</v>
      </c>
    </row>
    <row r="3194" spans="1:3" x14ac:dyDescent="0.15">
      <c r="A3194" s="22">
        <v>45769</v>
      </c>
      <c r="B3194">
        <v>11654.83</v>
      </c>
      <c r="C3194">
        <f t="shared" si="49"/>
        <v>4.7801743938051651</v>
      </c>
    </row>
    <row r="3195" spans="1:3" x14ac:dyDescent="0.15">
      <c r="A3195" s="22">
        <v>45770</v>
      </c>
      <c r="B3195">
        <v>11849.25</v>
      </c>
      <c r="C3195">
        <f t="shared" si="49"/>
        <v>4.8599148538241952</v>
      </c>
    </row>
    <row r="3196" spans="1:3" x14ac:dyDescent="0.15">
      <c r="A3196" s="22">
        <v>45771</v>
      </c>
      <c r="B3196">
        <v>12089.31</v>
      </c>
      <c r="C3196">
        <f t="shared" si="49"/>
        <v>4.9583743478688849</v>
      </c>
    </row>
    <row r="3197" spans="1:3" x14ac:dyDescent="0.15">
      <c r="A3197" s="22">
        <v>45772</v>
      </c>
      <c r="B3197">
        <v>12178.49</v>
      </c>
      <c r="C3197">
        <f t="shared" si="49"/>
        <v>4.9949511106736226</v>
      </c>
    </row>
    <row r="3198" spans="1:3" x14ac:dyDescent="0.15">
      <c r="A3198" s="22">
        <v>45775</v>
      </c>
      <c r="B3198">
        <v>12186.52</v>
      </c>
      <c r="C3198">
        <f t="shared" si="49"/>
        <v>4.9982445778784008</v>
      </c>
    </row>
    <row r="3199" spans="1:3" x14ac:dyDescent="0.15">
      <c r="A3199" s="22">
        <v>45776</v>
      </c>
      <c r="B3199">
        <v>12257.27</v>
      </c>
      <c r="C3199">
        <f t="shared" si="49"/>
        <v>5.0272623617810153</v>
      </c>
    </row>
    <row r="3200" spans="1:3" x14ac:dyDescent="0.15">
      <c r="A3200" s="22">
        <v>45777</v>
      </c>
      <c r="B3200">
        <v>12276.39</v>
      </c>
      <c r="C3200">
        <f t="shared" si="49"/>
        <v>5.0351043409784424</v>
      </c>
    </row>
    <row r="3201" spans="1:3" x14ac:dyDescent="0.15">
      <c r="A3201" s="22">
        <v>45778</v>
      </c>
      <c r="B3201">
        <v>12353.87</v>
      </c>
      <c r="C3201">
        <f t="shared" si="49"/>
        <v>5.0668824031236674</v>
      </c>
    </row>
    <row r="3202" spans="1:3" x14ac:dyDescent="0.15">
      <c r="A3202" s="22">
        <v>45779</v>
      </c>
      <c r="B3202">
        <v>12536.2</v>
      </c>
      <c r="C3202">
        <f t="shared" ref="C3202:C3265" si="50">(B3202 / $B$2)</f>
        <v>5.1416642057945339</v>
      </c>
    </row>
    <row r="3203" spans="1:3" x14ac:dyDescent="0.15">
      <c r="A3203" s="22">
        <v>45782</v>
      </c>
      <c r="B3203">
        <v>12456.84</v>
      </c>
      <c r="C3203">
        <f t="shared" si="50"/>
        <v>5.1091150703809438</v>
      </c>
    </row>
    <row r="3204" spans="1:3" x14ac:dyDescent="0.15">
      <c r="A3204" s="22">
        <v>45783</v>
      </c>
      <c r="B3204">
        <v>12361.16</v>
      </c>
      <c r="C3204">
        <f t="shared" si="50"/>
        <v>5.0698723627653646</v>
      </c>
    </row>
    <row r="3205" spans="1:3" x14ac:dyDescent="0.15">
      <c r="A3205" s="22">
        <v>45784</v>
      </c>
      <c r="B3205">
        <v>12414.98</v>
      </c>
      <c r="C3205">
        <f t="shared" si="50"/>
        <v>5.091946385799127</v>
      </c>
    </row>
    <row r="3206" spans="1:3" x14ac:dyDescent="0.15">
      <c r="A3206" s="22">
        <v>45785</v>
      </c>
      <c r="B3206">
        <v>12487</v>
      </c>
      <c r="C3206">
        <f t="shared" si="50"/>
        <v>5.1214850543032453</v>
      </c>
    </row>
    <row r="3207" spans="1:3" x14ac:dyDescent="0.15">
      <c r="A3207" s="22">
        <v>45786</v>
      </c>
      <c r="B3207">
        <v>12480.31</v>
      </c>
      <c r="C3207">
        <f t="shared" si="50"/>
        <v>5.1187411818748565</v>
      </c>
    </row>
    <row r="3208" spans="1:3" x14ac:dyDescent="0.15">
      <c r="A3208" s="22">
        <v>45789</v>
      </c>
      <c r="B3208">
        <v>12888.13</v>
      </c>
      <c r="C3208">
        <f t="shared" si="50"/>
        <v>5.2860066607605738</v>
      </c>
    </row>
    <row r="3209" spans="1:3" x14ac:dyDescent="0.15">
      <c r="A3209" s="22">
        <v>45790</v>
      </c>
      <c r="B3209">
        <v>12981.89</v>
      </c>
      <c r="C3209">
        <f t="shared" si="50"/>
        <v>5.3244618892935653</v>
      </c>
    </row>
    <row r="3210" spans="1:3" x14ac:dyDescent="0.15">
      <c r="A3210" s="22">
        <v>45791</v>
      </c>
      <c r="B3210">
        <v>12995.78</v>
      </c>
      <c r="C3210">
        <f t="shared" si="50"/>
        <v>5.3301588082816558</v>
      </c>
    </row>
    <row r="3211" spans="1:3" x14ac:dyDescent="0.15">
      <c r="A3211" s="22">
        <v>45792</v>
      </c>
      <c r="B3211">
        <v>13052.72</v>
      </c>
      <c r="C3211">
        <f t="shared" si="50"/>
        <v>5.3535124848246216</v>
      </c>
    </row>
    <row r="3212" spans="1:3" x14ac:dyDescent="0.15">
      <c r="A3212" s="22">
        <v>45793</v>
      </c>
      <c r="B3212">
        <v>13145.88</v>
      </c>
      <c r="C3212">
        <f t="shared" si="50"/>
        <v>5.3917216261443057</v>
      </c>
    </row>
    <row r="3213" spans="1:3" x14ac:dyDescent="0.15">
      <c r="A3213" s="22">
        <v>45796</v>
      </c>
      <c r="B3213">
        <v>13159.31</v>
      </c>
      <c r="C3213">
        <f t="shared" si="50"/>
        <v>5.3972298782688588</v>
      </c>
    </row>
    <row r="3214" spans="1:3" x14ac:dyDescent="0.15">
      <c r="A3214" s="22">
        <v>45797</v>
      </c>
      <c r="B3214">
        <v>13108.52</v>
      </c>
      <c r="C3214">
        <f t="shared" si="50"/>
        <v>5.3763985956623035</v>
      </c>
    </row>
    <row r="3215" spans="1:3" x14ac:dyDescent="0.15">
      <c r="A3215" s="22">
        <v>45798</v>
      </c>
      <c r="B3215">
        <v>12897.42</v>
      </c>
      <c r="C3215">
        <f t="shared" si="50"/>
        <v>5.2898169111132987</v>
      </c>
    </row>
    <row r="3216" spans="1:3" x14ac:dyDescent="0.15">
      <c r="A3216" s="22">
        <v>45799</v>
      </c>
      <c r="B3216">
        <v>12891.95</v>
      </c>
      <c r="C3216">
        <f t="shared" si="50"/>
        <v>5.2875734160186374</v>
      </c>
    </row>
    <row r="3217" spans="1:3" x14ac:dyDescent="0.15">
      <c r="A3217" s="22">
        <v>45800</v>
      </c>
      <c r="B3217">
        <v>12806.24</v>
      </c>
      <c r="C3217">
        <f t="shared" si="50"/>
        <v>5.2524198575975332</v>
      </c>
    </row>
    <row r="3218" spans="1:3" x14ac:dyDescent="0.15">
      <c r="A3218" s="22">
        <v>45804</v>
      </c>
      <c r="B3218">
        <v>13069.32</v>
      </c>
      <c r="C3218">
        <f t="shared" si="50"/>
        <v>5.3603208977261545</v>
      </c>
    </row>
    <row r="3219" spans="1:3" x14ac:dyDescent="0.15">
      <c r="A3219" s="22">
        <v>45805</v>
      </c>
      <c r="B3219">
        <v>12996.67</v>
      </c>
      <c r="C3219">
        <f t="shared" si="50"/>
        <v>5.3305238376480633</v>
      </c>
    </row>
    <row r="3220" spans="1:3" x14ac:dyDescent="0.15">
      <c r="A3220" s="22">
        <v>45806</v>
      </c>
      <c r="B3220">
        <v>13049.01</v>
      </c>
      <c r="C3220">
        <f t="shared" si="50"/>
        <v>5.3519908455556653</v>
      </c>
    </row>
    <row r="3221" spans="1:3" x14ac:dyDescent="0.15">
      <c r="A3221" s="22">
        <v>45807</v>
      </c>
      <c r="B3221">
        <v>13049.13</v>
      </c>
      <c r="C3221">
        <f t="shared" si="50"/>
        <v>5.3520400629983262</v>
      </c>
    </row>
    <row r="3222" spans="1:3" x14ac:dyDescent="0.15">
      <c r="A3222" s="22">
        <v>45810</v>
      </c>
      <c r="B3222">
        <v>13104.24</v>
      </c>
      <c r="C3222">
        <f t="shared" si="50"/>
        <v>5.3746431735407034</v>
      </c>
    </row>
    <row r="3223" spans="1:3" x14ac:dyDescent="0.15">
      <c r="A3223" s="22">
        <v>45811</v>
      </c>
      <c r="B3223">
        <v>13180.45</v>
      </c>
      <c r="C3223">
        <f t="shared" si="50"/>
        <v>5.4059003510844246</v>
      </c>
    </row>
    <row r="3224" spans="1:3" x14ac:dyDescent="0.15">
      <c r="A3224" s="22">
        <v>45812</v>
      </c>
      <c r="B3224">
        <v>13181.97</v>
      </c>
      <c r="C3224">
        <f t="shared" si="50"/>
        <v>5.4065237720248058</v>
      </c>
    </row>
    <row r="3225" spans="1:3" x14ac:dyDescent="0.15">
      <c r="A3225" s="22">
        <v>45813</v>
      </c>
      <c r="B3225">
        <v>13113.47</v>
      </c>
      <c r="C3225">
        <f t="shared" si="50"/>
        <v>5.3784288151720974</v>
      </c>
    </row>
    <row r="3226" spans="1:3" x14ac:dyDescent="0.15">
      <c r="A3226" s="22">
        <v>45814</v>
      </c>
      <c r="B3226">
        <v>13249.81</v>
      </c>
      <c r="C3226">
        <f t="shared" si="50"/>
        <v>5.4343480329428751</v>
      </c>
    </row>
    <row r="3227" spans="1:3" x14ac:dyDescent="0.15">
      <c r="A3227" s="22">
        <v>45817</v>
      </c>
      <c r="B3227">
        <v>13263.13</v>
      </c>
      <c r="C3227">
        <f t="shared" si="50"/>
        <v>5.4398111690783217</v>
      </c>
    </row>
    <row r="3228" spans="1:3" x14ac:dyDescent="0.15">
      <c r="A3228" s="22">
        <v>45818</v>
      </c>
      <c r="B3228">
        <v>13336.29</v>
      </c>
      <c r="C3228">
        <f t="shared" si="50"/>
        <v>5.4698174032877258</v>
      </c>
    </row>
    <row r="3229" spans="1:3" x14ac:dyDescent="0.15">
      <c r="A3229" s="22">
        <v>45819</v>
      </c>
      <c r="B3229">
        <v>13299.87</v>
      </c>
      <c r="C3229">
        <f t="shared" si="50"/>
        <v>5.4548799094399065</v>
      </c>
    </row>
    <row r="3230" spans="1:3" x14ac:dyDescent="0.15">
      <c r="A3230" s="22">
        <v>45820</v>
      </c>
      <c r="B3230">
        <v>13350.85</v>
      </c>
      <c r="C3230">
        <f t="shared" si="50"/>
        <v>5.4757891196640092</v>
      </c>
    </row>
    <row r="3231" spans="1:3" x14ac:dyDescent="0.15">
      <c r="A3231" s="22">
        <v>45821</v>
      </c>
      <c r="B3231">
        <v>13202.26</v>
      </c>
      <c r="C3231">
        <f t="shared" si="50"/>
        <v>5.414845621288185</v>
      </c>
    </row>
    <row r="3232" spans="1:3" x14ac:dyDescent="0.15">
      <c r="A3232" s="22">
        <v>45824</v>
      </c>
      <c r="B3232">
        <v>13328.43</v>
      </c>
      <c r="C3232">
        <f t="shared" si="50"/>
        <v>5.4665936607933858</v>
      </c>
    </row>
    <row r="3233" spans="1:3" x14ac:dyDescent="0.15">
      <c r="A3233" s="22">
        <v>45825</v>
      </c>
      <c r="B3233">
        <v>13217.52</v>
      </c>
      <c r="C3233">
        <f t="shared" si="50"/>
        <v>5.4211044394133285</v>
      </c>
    </row>
    <row r="3234" spans="1:3" x14ac:dyDescent="0.15">
      <c r="A3234" s="22">
        <v>45826</v>
      </c>
      <c r="B3234">
        <v>13213.88</v>
      </c>
      <c r="C3234">
        <f t="shared" si="50"/>
        <v>5.4196115103192568</v>
      </c>
    </row>
    <row r="3235" spans="1:3" x14ac:dyDescent="0.15">
      <c r="A3235" s="22">
        <v>45828</v>
      </c>
      <c r="B3235">
        <v>13185.84</v>
      </c>
      <c r="C3235">
        <f t="shared" si="50"/>
        <v>5.4081110345506449</v>
      </c>
    </row>
    <row r="3236" spans="1:3" x14ac:dyDescent="0.15">
      <c r="A3236" s="22">
        <v>45831</v>
      </c>
      <c r="B3236">
        <v>13312.75</v>
      </c>
      <c r="C3236">
        <f t="shared" si="50"/>
        <v>5.4601625816189259</v>
      </c>
    </row>
    <row r="3237" spans="1:3" x14ac:dyDescent="0.15">
      <c r="A3237" s="22">
        <v>45832</v>
      </c>
      <c r="B3237">
        <v>13461.1</v>
      </c>
      <c r="C3237">
        <f t="shared" si="50"/>
        <v>5.5210076451094272</v>
      </c>
    </row>
    <row r="3238" spans="1:3" x14ac:dyDescent="0.15">
      <c r="A3238" s="22">
        <v>45833</v>
      </c>
      <c r="B3238">
        <v>13461.17</v>
      </c>
      <c r="C3238">
        <f t="shared" si="50"/>
        <v>5.5210363552843127</v>
      </c>
    </row>
    <row r="3239" spans="1:3" x14ac:dyDescent="0.15">
      <c r="A3239" s="22">
        <v>45834</v>
      </c>
      <c r="B3239">
        <v>13569.29</v>
      </c>
      <c r="C3239">
        <f t="shared" si="50"/>
        <v>5.5653812711224866</v>
      </c>
    </row>
    <row r="3240" spans="1:3" x14ac:dyDescent="0.15">
      <c r="A3240" s="22">
        <v>45835</v>
      </c>
      <c r="B3240">
        <v>13641.1</v>
      </c>
      <c r="C3240">
        <f t="shared" si="50"/>
        <v>5.5948338091019458</v>
      </c>
    </row>
    <row r="3241" spans="1:3" x14ac:dyDescent="0.15">
      <c r="A3241" s="22">
        <v>45838</v>
      </c>
      <c r="B3241">
        <v>13712.71</v>
      </c>
      <c r="C3241">
        <f t="shared" si="50"/>
        <v>5.6242043180103032</v>
      </c>
    </row>
    <row r="3242" spans="1:3" x14ac:dyDescent="0.15">
      <c r="A3242" s="22">
        <v>45839</v>
      </c>
      <c r="B3242">
        <v>13697.68</v>
      </c>
      <c r="C3242">
        <f t="shared" si="50"/>
        <v>5.6180398333169279</v>
      </c>
    </row>
    <row r="3243" spans="1:3" x14ac:dyDescent="0.15">
      <c r="A3243" s="22">
        <v>45840</v>
      </c>
      <c r="B3243">
        <v>13763.04</v>
      </c>
      <c r="C3243">
        <f t="shared" si="50"/>
        <v>5.6448469337533229</v>
      </c>
    </row>
    <row r="3244" spans="1:3" x14ac:dyDescent="0.15">
      <c r="A3244" s="22">
        <v>45841</v>
      </c>
      <c r="B3244">
        <v>13879.98</v>
      </c>
      <c r="C3244">
        <f t="shared" si="50"/>
        <v>5.6928093316271289</v>
      </c>
    </row>
    <row r="3245" spans="1:3" x14ac:dyDescent="0.15">
      <c r="A3245" s="22">
        <v>45845</v>
      </c>
      <c r="B3245">
        <v>13771.11</v>
      </c>
      <c r="C3245">
        <f t="shared" si="50"/>
        <v>5.6481568067723211</v>
      </c>
    </row>
    <row r="3246" spans="1:3" x14ac:dyDescent="0.15">
      <c r="A3246" s="22">
        <v>45846</v>
      </c>
      <c r="B3246">
        <v>13761.33</v>
      </c>
      <c r="C3246">
        <f t="shared" si="50"/>
        <v>5.6441455851953934</v>
      </c>
    </row>
    <row r="3247" spans="1:3" x14ac:dyDescent="0.15">
      <c r="A3247" s="22">
        <v>45847</v>
      </c>
      <c r="B3247">
        <v>13844.92</v>
      </c>
      <c r="C3247">
        <f t="shared" si="50"/>
        <v>5.6784296354628081</v>
      </c>
    </row>
    <row r="3248" spans="1:3" x14ac:dyDescent="0.15">
      <c r="A3248" s="22">
        <v>45848</v>
      </c>
      <c r="B3248">
        <v>13884.89</v>
      </c>
      <c r="C3248">
        <f t="shared" si="50"/>
        <v>5.6948231453227027</v>
      </c>
    </row>
    <row r="3249" spans="1:3" x14ac:dyDescent="0.15">
      <c r="A3249" s="22">
        <v>45849</v>
      </c>
      <c r="B3249">
        <v>13839.11</v>
      </c>
      <c r="C3249">
        <f t="shared" si="50"/>
        <v>5.6760466909472722</v>
      </c>
    </row>
    <row r="3250" spans="1:3" x14ac:dyDescent="0.15">
      <c r="A3250" s="22">
        <v>45852</v>
      </c>
      <c r="B3250">
        <v>13858.62</v>
      </c>
      <c r="C3250">
        <f t="shared" si="50"/>
        <v>5.6840486268333503</v>
      </c>
    </row>
    <row r="3251" spans="1:3" x14ac:dyDescent="0.15">
      <c r="A3251" s="22">
        <v>45853</v>
      </c>
      <c r="B3251">
        <v>13805.08</v>
      </c>
      <c r="C3251">
        <f t="shared" si="50"/>
        <v>5.6620894444991308</v>
      </c>
    </row>
    <row r="3252" spans="1:3" x14ac:dyDescent="0.15">
      <c r="A3252" s="22">
        <v>45854</v>
      </c>
      <c r="B3252">
        <v>13849.17</v>
      </c>
      <c r="C3252">
        <f t="shared" si="50"/>
        <v>5.6801727532237427</v>
      </c>
    </row>
    <row r="3253" spans="1:3" x14ac:dyDescent="0.15">
      <c r="A3253" s="22">
        <v>45855</v>
      </c>
      <c r="B3253">
        <v>13923.75</v>
      </c>
      <c r="C3253">
        <f t="shared" si="50"/>
        <v>5.7107613938379762</v>
      </c>
    </row>
    <row r="3254" spans="1:3" x14ac:dyDescent="0.15">
      <c r="A3254" s="22">
        <v>45856</v>
      </c>
      <c r="B3254">
        <v>13923.35</v>
      </c>
      <c r="C3254">
        <f t="shared" si="50"/>
        <v>5.7105973356957707</v>
      </c>
    </row>
    <row r="3255" spans="1:3" x14ac:dyDescent="0.15">
      <c r="A3255" s="22">
        <v>45859</v>
      </c>
      <c r="B3255">
        <v>13943.16</v>
      </c>
      <c r="C3255">
        <f t="shared" si="50"/>
        <v>5.7187223151885034</v>
      </c>
    </row>
    <row r="3256" spans="1:3" x14ac:dyDescent="0.15">
      <c r="A3256" s="22">
        <v>45860</v>
      </c>
      <c r="B3256">
        <v>13952.35</v>
      </c>
      <c r="C3256">
        <f t="shared" si="50"/>
        <v>5.7224915510056773</v>
      </c>
    </row>
    <row r="3257" spans="1:3" x14ac:dyDescent="0.15">
      <c r="A3257" s="22">
        <v>45861</v>
      </c>
      <c r="B3257">
        <v>14061.52</v>
      </c>
      <c r="C3257">
        <f t="shared" si="50"/>
        <v>5.7672671194671397</v>
      </c>
    </row>
    <row r="3258" spans="1:3" x14ac:dyDescent="0.15">
      <c r="A3258" s="22">
        <v>45862</v>
      </c>
      <c r="B3258">
        <v>14071.45</v>
      </c>
      <c r="C3258">
        <f t="shared" si="50"/>
        <v>5.7713398628473938</v>
      </c>
    </row>
    <row r="3259" spans="1:3" x14ac:dyDescent="0.15">
      <c r="A3259" s="22">
        <v>45863</v>
      </c>
      <c r="B3259">
        <v>14128.12</v>
      </c>
      <c r="C3259">
        <f t="shared" si="50"/>
        <v>5.7945828001443722</v>
      </c>
    </row>
    <row r="3260" spans="1:3" x14ac:dyDescent="0.15">
      <c r="A3260" s="22">
        <v>45866</v>
      </c>
      <c r="B3260">
        <v>14130.61</v>
      </c>
      <c r="C3260">
        <f t="shared" si="50"/>
        <v>5.7956040620796019</v>
      </c>
    </row>
    <row r="3261" spans="1:3" x14ac:dyDescent="0.15">
      <c r="A3261" s="22">
        <v>45867</v>
      </c>
      <c r="B3261">
        <v>14088.86</v>
      </c>
      <c r="C3261">
        <f t="shared" si="50"/>
        <v>5.7784804934868923</v>
      </c>
    </row>
    <row r="3262" spans="1:3" x14ac:dyDescent="0.15">
      <c r="A3262" s="22">
        <v>45868</v>
      </c>
      <c r="B3262">
        <v>14071.34</v>
      </c>
      <c r="C3262">
        <f t="shared" si="50"/>
        <v>5.7712947468582874</v>
      </c>
    </row>
    <row r="3263" spans="1:3" x14ac:dyDescent="0.15">
      <c r="A3263" s="22">
        <v>45869</v>
      </c>
      <c r="B3263">
        <v>14020.46</v>
      </c>
      <c r="C3263">
        <f t="shared" si="50"/>
        <v>5.7504265511697348</v>
      </c>
    </row>
    <row r="3264" spans="1:3" x14ac:dyDescent="0.15">
      <c r="A3264" s="22">
        <v>45870</v>
      </c>
      <c r="B3264">
        <v>13796.83</v>
      </c>
      <c r="C3264">
        <f t="shared" si="50"/>
        <v>5.6587057453161407</v>
      </c>
    </row>
    <row r="3265" spans="1:3" x14ac:dyDescent="0.15">
      <c r="A3265" s="22">
        <v>45873</v>
      </c>
      <c r="B3265">
        <v>14000.69</v>
      </c>
      <c r="C3265">
        <f t="shared" si="50"/>
        <v>5.7423179774912239</v>
      </c>
    </row>
    <row r="3266" spans="1:3" x14ac:dyDescent="0.15">
      <c r="A3266" s="22">
        <v>45874</v>
      </c>
      <c r="B3266">
        <v>13932.88</v>
      </c>
      <c r="C3266">
        <f t="shared" ref="C3266:C3328" si="51">(B3266 / $B$2)</f>
        <v>5.7145060209338192</v>
      </c>
    </row>
    <row r="3267" spans="1:3" x14ac:dyDescent="0.15">
      <c r="A3267" s="22">
        <v>45875</v>
      </c>
      <c r="B3267">
        <v>14034.35</v>
      </c>
      <c r="C3267">
        <f t="shared" si="51"/>
        <v>5.7561234701578243</v>
      </c>
    </row>
    <row r="3268" spans="1:3" x14ac:dyDescent="0.15">
      <c r="A3268" s="22">
        <v>45876</v>
      </c>
      <c r="B3268">
        <v>14023.35</v>
      </c>
      <c r="C3268">
        <f t="shared" si="51"/>
        <v>5.7516118712471709</v>
      </c>
    </row>
    <row r="3269" spans="1:3" x14ac:dyDescent="0.15">
      <c r="A3269" s="22">
        <v>45877</v>
      </c>
      <c r="B3269">
        <v>14134.02</v>
      </c>
      <c r="C3269">
        <f t="shared" si="51"/>
        <v>5.7970026577419045</v>
      </c>
    </row>
    <row r="3270" spans="1:3" x14ac:dyDescent="0.15">
      <c r="A3270" s="22">
        <v>45880</v>
      </c>
      <c r="B3270">
        <v>14100.03</v>
      </c>
      <c r="C3270">
        <f t="shared" si="51"/>
        <v>5.7830618171079839</v>
      </c>
    </row>
    <row r="3271" spans="1:3" x14ac:dyDescent="0.15">
      <c r="A3271" s="22">
        <v>45881</v>
      </c>
      <c r="B3271">
        <v>14260.43</v>
      </c>
      <c r="C3271">
        <f t="shared" si="51"/>
        <v>5.8488491321324281</v>
      </c>
    </row>
    <row r="3272" spans="1:3" x14ac:dyDescent="0.15">
      <c r="A3272" s="22">
        <v>45882</v>
      </c>
      <c r="B3272">
        <v>14306.96</v>
      </c>
      <c r="C3272">
        <f t="shared" si="51"/>
        <v>5.8679331955244942</v>
      </c>
    </row>
    <row r="3273" spans="1:3" x14ac:dyDescent="0.15">
      <c r="A3273" s="22">
        <v>45883</v>
      </c>
      <c r="B3273">
        <v>14311.81</v>
      </c>
      <c r="C3273">
        <f t="shared" si="51"/>
        <v>5.8699224004987371</v>
      </c>
    </row>
    <row r="3274" spans="1:3" x14ac:dyDescent="0.15">
      <c r="A3274" s="22">
        <v>45884</v>
      </c>
      <c r="B3274">
        <v>14273.57</v>
      </c>
      <c r="C3274">
        <f t="shared" si="51"/>
        <v>5.854238442103882</v>
      </c>
    </row>
    <row r="3275" spans="1:3" x14ac:dyDescent="0.15">
      <c r="A3275" s="22">
        <v>45887</v>
      </c>
      <c r="B3275">
        <v>14273.22</v>
      </c>
      <c r="C3275">
        <f t="shared" si="51"/>
        <v>5.8540948912294519</v>
      </c>
    </row>
    <row r="3276" spans="1:3" x14ac:dyDescent="0.15">
      <c r="A3276" s="22">
        <v>45888</v>
      </c>
      <c r="B3276">
        <v>14190.8</v>
      </c>
      <c r="C3276">
        <f t="shared" si="51"/>
        <v>5.8202907110279885</v>
      </c>
    </row>
    <row r="3277" spans="1:3" x14ac:dyDescent="0.15">
      <c r="A3277" s="22">
        <v>45889</v>
      </c>
      <c r="B3277">
        <v>14156.65</v>
      </c>
      <c r="C3277">
        <f t="shared" si="51"/>
        <v>5.806284247137186</v>
      </c>
    </row>
    <row r="3278" spans="1:3" x14ac:dyDescent="0.15">
      <c r="A3278" s="22">
        <v>45890</v>
      </c>
      <c r="B3278">
        <v>14101.79</v>
      </c>
      <c r="C3278">
        <f t="shared" si="51"/>
        <v>5.783783672933688</v>
      </c>
    </row>
    <row r="3279" spans="1:3" x14ac:dyDescent="0.15">
      <c r="A3279" s="22">
        <v>45891</v>
      </c>
      <c r="B3279">
        <v>14316.55</v>
      </c>
      <c r="C3279">
        <f t="shared" si="51"/>
        <v>5.8718664894838728</v>
      </c>
    </row>
    <row r="3280" spans="1:3" x14ac:dyDescent="0.15">
      <c r="A3280" s="22">
        <v>45894</v>
      </c>
      <c r="B3280">
        <v>14255.76</v>
      </c>
      <c r="C3280">
        <f t="shared" si="51"/>
        <v>5.8469337533221779</v>
      </c>
    </row>
    <row r="3281" spans="1:3" x14ac:dyDescent="0.15">
      <c r="A3281" s="22">
        <v>45895</v>
      </c>
      <c r="B3281">
        <v>14315.6</v>
      </c>
      <c r="C3281">
        <f t="shared" si="51"/>
        <v>5.8714768513961353</v>
      </c>
    </row>
    <row r="3282" spans="1:3" x14ac:dyDescent="0.15">
      <c r="A3282" s="22">
        <v>45896</v>
      </c>
      <c r="B3282">
        <v>14349.86</v>
      </c>
      <c r="C3282">
        <f t="shared" si="51"/>
        <v>5.885528431276045</v>
      </c>
    </row>
    <row r="3283" spans="1:3" x14ac:dyDescent="0.15">
      <c r="A3283" s="22">
        <v>45897</v>
      </c>
      <c r="B3283">
        <v>14395.51</v>
      </c>
      <c r="C3283">
        <f t="shared" si="51"/>
        <v>5.9042515667552582</v>
      </c>
    </row>
    <row r="3284" spans="1:3" x14ac:dyDescent="0.15">
      <c r="A3284" s="22">
        <v>45898</v>
      </c>
      <c r="B3284">
        <v>14304.68</v>
      </c>
      <c r="C3284">
        <f t="shared" si="51"/>
        <v>5.8669980641139228</v>
      </c>
    </row>
    <row r="3285" spans="1:3" x14ac:dyDescent="0.15">
      <c r="A3285" s="22">
        <v>45902</v>
      </c>
      <c r="B3285">
        <v>14208.5</v>
      </c>
      <c r="C3285">
        <f t="shared" si="51"/>
        <v>5.8275502838205862</v>
      </c>
    </row>
    <row r="3286" spans="1:3" x14ac:dyDescent="0.15">
      <c r="A3286" s="22">
        <v>45903</v>
      </c>
      <c r="B3286">
        <v>14281.23</v>
      </c>
      <c r="C3286">
        <f t="shared" si="51"/>
        <v>5.8573801555271192</v>
      </c>
    </row>
    <row r="3287" spans="1:3" x14ac:dyDescent="0.15">
      <c r="A3287" s="22">
        <v>45904</v>
      </c>
      <c r="B3287">
        <v>14401.71</v>
      </c>
      <c r="C3287">
        <f t="shared" si="51"/>
        <v>5.9067944679594451</v>
      </c>
    </row>
    <row r="3288" spans="1:3" x14ac:dyDescent="0.15">
      <c r="A3288" s="22">
        <v>45905</v>
      </c>
      <c r="B3288">
        <v>14358.11</v>
      </c>
      <c r="C3288">
        <f t="shared" si="51"/>
        <v>5.8889121304590351</v>
      </c>
    </row>
    <row r="3289" spans="1:3" x14ac:dyDescent="0.15">
      <c r="A3289" s="22">
        <v>45908</v>
      </c>
      <c r="B3289">
        <v>14389.13</v>
      </c>
      <c r="C3289">
        <f t="shared" si="51"/>
        <v>5.9016348393870786</v>
      </c>
    </row>
    <row r="3290" spans="1:3" x14ac:dyDescent="0.15">
      <c r="A3290" s="22">
        <v>45909</v>
      </c>
      <c r="B3290">
        <v>14428.25</v>
      </c>
      <c r="C3290">
        <f t="shared" si="51"/>
        <v>5.9176797256947866</v>
      </c>
    </row>
    <row r="3291" spans="1:3" x14ac:dyDescent="0.15">
      <c r="A3291" s="22">
        <v>45910</v>
      </c>
      <c r="B3291">
        <v>14471.71</v>
      </c>
      <c r="C3291">
        <f t="shared" si="51"/>
        <v>5.9355046428454248</v>
      </c>
    </row>
    <row r="3292" spans="1:3" x14ac:dyDescent="0.15">
      <c r="A3292" s="22">
        <v>45911</v>
      </c>
      <c r="B3292">
        <v>14594.64</v>
      </c>
      <c r="C3292">
        <f t="shared" si="51"/>
        <v>5.9859238113987594</v>
      </c>
    </row>
    <row r="3293" spans="1:3" x14ac:dyDescent="0.15">
      <c r="A3293" s="22">
        <v>45912</v>
      </c>
      <c r="B3293">
        <v>14588.18</v>
      </c>
      <c r="C3293">
        <f t="shared" si="51"/>
        <v>5.9832742724021397</v>
      </c>
    </row>
    <row r="3294" spans="1:3" x14ac:dyDescent="0.15">
      <c r="A3294" s="22">
        <v>45915</v>
      </c>
      <c r="B3294">
        <v>14660.13</v>
      </c>
      <c r="C3294">
        <f t="shared" si="51"/>
        <v>6.0127842307313708</v>
      </c>
    </row>
    <row r="3295" spans="1:3" x14ac:dyDescent="0.15">
      <c r="A3295" s="22">
        <v>45916</v>
      </c>
      <c r="B3295">
        <v>14641.77</v>
      </c>
      <c r="C3295">
        <f t="shared" si="51"/>
        <v>6.0052539620041347</v>
      </c>
    </row>
    <row r="3296" spans="1:3" x14ac:dyDescent="0.15">
      <c r="A3296" s="22">
        <v>45917</v>
      </c>
      <c r="B3296">
        <v>14627.8</v>
      </c>
      <c r="C3296">
        <f t="shared" si="51"/>
        <v>5.9995242313876043</v>
      </c>
    </row>
    <row r="3297" spans="1:3" x14ac:dyDescent="0.15">
      <c r="A3297" s="22">
        <v>45918</v>
      </c>
      <c r="B3297">
        <v>14698.08</v>
      </c>
      <c r="C3297">
        <f t="shared" si="51"/>
        <v>6.0283492469731277</v>
      </c>
    </row>
    <row r="3298" spans="1:3" x14ac:dyDescent="0.15">
      <c r="A3298" s="22">
        <v>45919</v>
      </c>
      <c r="B3298">
        <v>14769.93</v>
      </c>
      <c r="C3298">
        <f t="shared" si="51"/>
        <v>6.0578181907668078</v>
      </c>
    </row>
    <row r="3299" spans="1:3" x14ac:dyDescent="0.15">
      <c r="A3299" s="22">
        <v>45922</v>
      </c>
      <c r="B3299">
        <v>14836.27</v>
      </c>
      <c r="C3299">
        <f t="shared" si="51"/>
        <v>6.0850272336516067</v>
      </c>
    </row>
    <row r="3300" spans="1:3" x14ac:dyDescent="0.15">
      <c r="A3300" s="22">
        <v>45923</v>
      </c>
      <c r="B3300">
        <v>14754.63</v>
      </c>
      <c r="C3300">
        <f t="shared" si="51"/>
        <v>6.0515429668274434</v>
      </c>
    </row>
    <row r="3301" spans="1:3" x14ac:dyDescent="0.15">
      <c r="A3301" s="22">
        <v>45924</v>
      </c>
      <c r="B3301">
        <v>14712.72</v>
      </c>
      <c r="C3301">
        <f t="shared" si="51"/>
        <v>6.034353774977852</v>
      </c>
    </row>
    <row r="3302" spans="1:3" x14ac:dyDescent="0.15">
      <c r="A3302" s="22">
        <v>45925</v>
      </c>
      <c r="B3302">
        <v>14639.18</v>
      </c>
      <c r="C3302">
        <f t="shared" si="51"/>
        <v>6.0041916855333533</v>
      </c>
    </row>
    <row r="3303" spans="1:3" x14ac:dyDescent="0.15">
      <c r="A3303" s="22">
        <v>45926</v>
      </c>
      <c r="B3303">
        <v>14725.98</v>
      </c>
      <c r="C3303">
        <f t="shared" si="51"/>
        <v>6.0397923023919677</v>
      </c>
    </row>
    <row r="3304" spans="1:3" x14ac:dyDescent="0.15">
      <c r="A3304" s="22">
        <v>45929</v>
      </c>
      <c r="B3304">
        <v>14764.92</v>
      </c>
      <c r="C3304">
        <f t="shared" si="51"/>
        <v>6.055763362535683</v>
      </c>
    </row>
    <row r="3305" spans="1:3" x14ac:dyDescent="0.15">
      <c r="A3305" s="22">
        <v>45930</v>
      </c>
      <c r="B3305">
        <v>14826.8</v>
      </c>
      <c r="C3305">
        <f t="shared" si="51"/>
        <v>6.0811431571348891</v>
      </c>
    </row>
    <row r="3306" spans="1:3" x14ac:dyDescent="0.15">
      <c r="A3306" s="22">
        <v>45931</v>
      </c>
      <c r="B3306">
        <v>14877.96</v>
      </c>
      <c r="C3306">
        <f t="shared" si="51"/>
        <v>6.1021261935229845</v>
      </c>
    </row>
    <row r="3307" spans="1:3" x14ac:dyDescent="0.15">
      <c r="A3307" s="22">
        <v>45932</v>
      </c>
      <c r="B3307">
        <v>14887.32</v>
      </c>
      <c r="C3307">
        <f t="shared" si="51"/>
        <v>6.1059651540505957</v>
      </c>
    </row>
    <row r="3308" spans="1:3" x14ac:dyDescent="0.15">
      <c r="A3308" s="22">
        <v>45933</v>
      </c>
      <c r="B3308">
        <v>14889.84</v>
      </c>
      <c r="C3308">
        <f t="shared" si="51"/>
        <v>6.1069987203464908</v>
      </c>
    </row>
    <row r="3309" spans="1:3" x14ac:dyDescent="0.15">
      <c r="A3309" s="22">
        <v>45936</v>
      </c>
      <c r="B3309">
        <v>14945.23</v>
      </c>
      <c r="C3309">
        <f t="shared" si="51"/>
        <v>6.1297166715884108</v>
      </c>
    </row>
    <row r="3310" spans="1:3" x14ac:dyDescent="0.15">
      <c r="A3310" s="22">
        <v>45937</v>
      </c>
      <c r="B3310">
        <v>14888.37</v>
      </c>
      <c r="C3310">
        <f t="shared" si="51"/>
        <v>6.1063958066738859</v>
      </c>
    </row>
    <row r="3311" spans="1:3" x14ac:dyDescent="0.15">
      <c r="A3311" s="22">
        <v>45938</v>
      </c>
      <c r="B3311">
        <v>14975.13</v>
      </c>
      <c r="C3311">
        <f t="shared" si="51"/>
        <v>6.1419800177182795</v>
      </c>
    </row>
    <row r="3312" spans="1:3" x14ac:dyDescent="0.15">
      <c r="A3312" s="22">
        <v>45939</v>
      </c>
      <c r="B3312">
        <v>14934.38</v>
      </c>
      <c r="C3312">
        <f t="shared" si="51"/>
        <v>6.1252665944810838</v>
      </c>
    </row>
    <row r="3313" spans="1:3" x14ac:dyDescent="0.15">
      <c r="A3313" s="22">
        <v>45940</v>
      </c>
      <c r="B3313">
        <v>14531.41</v>
      </c>
      <c r="C3313">
        <f t="shared" si="51"/>
        <v>5.9599903205696103</v>
      </c>
    </row>
    <row r="3314" spans="1:3" x14ac:dyDescent="0.15">
      <c r="A3314" s="22">
        <v>45943</v>
      </c>
      <c r="B3314">
        <v>14758.07</v>
      </c>
      <c r="C3314">
        <f t="shared" si="51"/>
        <v>6.0529538668504124</v>
      </c>
    </row>
    <row r="3315" spans="1:3" x14ac:dyDescent="0.15">
      <c r="A3315" s="22">
        <v>45944</v>
      </c>
      <c r="B3315">
        <v>14735.21</v>
      </c>
      <c r="C3315">
        <f t="shared" si="51"/>
        <v>6.0435779440233617</v>
      </c>
    </row>
    <row r="3316" spans="1:3" x14ac:dyDescent="0.15">
      <c r="A3316" s="22">
        <v>45945</v>
      </c>
      <c r="B3316">
        <v>14795.66</v>
      </c>
      <c r="C3316">
        <f t="shared" si="51"/>
        <v>6.0683712307641828</v>
      </c>
    </row>
    <row r="3317" spans="1:3" x14ac:dyDescent="0.15">
      <c r="A3317" s="22">
        <v>45946</v>
      </c>
      <c r="B3317">
        <v>14702.57</v>
      </c>
      <c r="C3317">
        <f t="shared" si="51"/>
        <v>6.0301907996193851</v>
      </c>
    </row>
    <row r="3318" spans="1:3" x14ac:dyDescent="0.15">
      <c r="A3318" s="22">
        <v>45947</v>
      </c>
      <c r="B3318">
        <v>14780.36</v>
      </c>
      <c r="C3318">
        <f t="shared" si="51"/>
        <v>6.0620960068248193</v>
      </c>
    </row>
    <row r="3319" spans="1:3" x14ac:dyDescent="0.15">
      <c r="A3319" s="22">
        <v>45950</v>
      </c>
      <c r="B3319">
        <v>14938.29</v>
      </c>
      <c r="C3319">
        <f t="shared" si="51"/>
        <v>6.1268702628211447</v>
      </c>
    </row>
    <row r="3320" spans="1:3" x14ac:dyDescent="0.15">
      <c r="A3320" s="22">
        <v>45951</v>
      </c>
      <c r="B3320">
        <v>14938.83</v>
      </c>
      <c r="C3320">
        <f t="shared" si="51"/>
        <v>6.1270917413131221</v>
      </c>
    </row>
    <row r="3321" spans="1:3" x14ac:dyDescent="0.15">
      <c r="A3321" s="22">
        <v>45952</v>
      </c>
      <c r="B3321">
        <v>14859.33</v>
      </c>
      <c r="C3321">
        <f t="shared" si="51"/>
        <v>6.0944851855497593</v>
      </c>
    </row>
    <row r="3322" spans="1:3" x14ac:dyDescent="0.15">
      <c r="A3322" s="22">
        <v>45953</v>
      </c>
      <c r="B3322">
        <v>14946.13</v>
      </c>
      <c r="C3322">
        <f t="shared" si="51"/>
        <v>6.1300858024083738</v>
      </c>
    </row>
    <row r="3323" spans="1:3" x14ac:dyDescent="0.15">
      <c r="A3323" s="22">
        <v>45954</v>
      </c>
      <c r="B3323">
        <v>15064.91</v>
      </c>
      <c r="C3323">
        <f t="shared" si="51"/>
        <v>6.1788028677363265</v>
      </c>
    </row>
    <row r="3324" spans="1:3" x14ac:dyDescent="0.15">
      <c r="A3324" s="22">
        <v>45957</v>
      </c>
      <c r="B3324">
        <v>15250.14</v>
      </c>
      <c r="C3324">
        <f t="shared" si="51"/>
        <v>6.2547740919381827</v>
      </c>
    </row>
    <row r="3325" spans="1:3" x14ac:dyDescent="0.15">
      <c r="A3325" s="22">
        <v>45958</v>
      </c>
      <c r="B3325">
        <v>15285.1</v>
      </c>
      <c r="C3325">
        <f t="shared" si="51"/>
        <v>6.2691127735669525</v>
      </c>
    </row>
    <row r="3326" spans="1:3" x14ac:dyDescent="0.15">
      <c r="A3326" s="22">
        <v>45959</v>
      </c>
      <c r="B3326">
        <v>15284.53</v>
      </c>
      <c r="C3326">
        <f t="shared" si="51"/>
        <v>6.2688789907143097</v>
      </c>
    </row>
    <row r="3327" spans="1:3" x14ac:dyDescent="0.15">
      <c r="A3327" s="22">
        <v>45960</v>
      </c>
      <c r="B3327">
        <v>15133.23</v>
      </c>
      <c r="C3327">
        <f t="shared" si="51"/>
        <v>6.2068239984250422</v>
      </c>
    </row>
    <row r="3328" spans="1:3" x14ac:dyDescent="0.15">
      <c r="A3328" s="22">
        <v>45961</v>
      </c>
      <c r="B3328">
        <v>15173.95</v>
      </c>
      <c r="C3328">
        <f t="shared" si="51"/>
        <v>6.2235251173015724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37CB-46D0-8D46-BA01-CF46E02917E8}">
  <dimension ref="A1:B2633"/>
  <sheetViews>
    <sheetView workbookViewId="0">
      <selection activeCell="F14" sqref="F14"/>
    </sheetView>
  </sheetViews>
  <sheetFormatPr baseColWidth="10" defaultRowHeight="13" x14ac:dyDescent="0.15"/>
  <cols>
    <col min="1" max="1" width="8.1640625" bestFit="1" customWidth="1"/>
    <col min="2" max="2" width="7.83203125" customWidth="1"/>
  </cols>
  <sheetData>
    <row r="1" spans="1:2" x14ac:dyDescent="0.15">
      <c r="A1" s="50" t="s">
        <v>36</v>
      </c>
      <c r="B1" s="44" t="s">
        <v>37</v>
      </c>
    </row>
    <row r="2" spans="1:2" x14ac:dyDescent="0.15">
      <c r="A2" s="47">
        <v>40878</v>
      </c>
      <c r="B2" s="48">
        <v>1.5692999999999999</v>
      </c>
    </row>
    <row r="3" spans="1:2" x14ac:dyDescent="0.15">
      <c r="A3" s="47">
        <v>40879</v>
      </c>
      <c r="B3" s="48">
        <v>1.5592999999999999</v>
      </c>
    </row>
    <row r="4" spans="1:2" x14ac:dyDescent="0.15">
      <c r="A4" s="47">
        <v>40882</v>
      </c>
      <c r="B4" s="48">
        <v>1.5650999999999999</v>
      </c>
    </row>
    <row r="5" spans="1:2" x14ac:dyDescent="0.15">
      <c r="A5" s="47">
        <v>40883</v>
      </c>
      <c r="B5" s="48">
        <v>1.5592999999999999</v>
      </c>
    </row>
    <row r="6" spans="1:2" x14ac:dyDescent="0.15">
      <c r="A6" s="47">
        <v>40884</v>
      </c>
      <c r="B6" s="48">
        <v>1.571</v>
      </c>
    </row>
    <row r="7" spans="1:2" x14ac:dyDescent="0.15">
      <c r="A7" s="47">
        <v>40885</v>
      </c>
      <c r="B7" s="48">
        <v>1.5639000000000001</v>
      </c>
    </row>
    <row r="8" spans="1:2" x14ac:dyDescent="0.15">
      <c r="A8" s="47">
        <v>40886</v>
      </c>
      <c r="B8" s="48">
        <v>1.5659000000000001</v>
      </c>
    </row>
    <row r="9" spans="1:2" x14ac:dyDescent="0.15">
      <c r="A9" s="47">
        <v>40889</v>
      </c>
      <c r="B9" s="48">
        <v>1.5585</v>
      </c>
    </row>
    <row r="10" spans="1:2" x14ac:dyDescent="0.15">
      <c r="A10" s="47">
        <v>40890</v>
      </c>
      <c r="B10" s="48">
        <v>1.5478000000000001</v>
      </c>
    </row>
    <row r="11" spans="1:2" x14ac:dyDescent="0.15">
      <c r="A11" s="47">
        <v>40891</v>
      </c>
      <c r="B11" s="48">
        <v>1.5465</v>
      </c>
    </row>
    <row r="12" spans="1:2" x14ac:dyDescent="0.15">
      <c r="A12" s="47">
        <v>40892</v>
      </c>
      <c r="B12" s="48">
        <v>1.5507</v>
      </c>
    </row>
    <row r="13" spans="1:2" x14ac:dyDescent="0.15">
      <c r="A13" s="47">
        <v>40893</v>
      </c>
      <c r="B13" s="48">
        <v>1.5519000000000001</v>
      </c>
    </row>
    <row r="14" spans="1:2" x14ac:dyDescent="0.15">
      <c r="A14" s="47">
        <v>40896</v>
      </c>
      <c r="B14" s="48">
        <v>1.5498000000000001</v>
      </c>
    </row>
    <row r="15" spans="1:2" x14ac:dyDescent="0.15">
      <c r="A15" s="47">
        <v>40897</v>
      </c>
      <c r="B15" s="48">
        <v>1.5653999999999999</v>
      </c>
    </row>
    <row r="16" spans="1:2" x14ac:dyDescent="0.15">
      <c r="A16" s="47">
        <v>40898</v>
      </c>
      <c r="B16" s="48">
        <v>1.5672999999999999</v>
      </c>
    </row>
    <row r="17" spans="1:2" x14ac:dyDescent="0.15">
      <c r="A17" s="47">
        <v>40899</v>
      </c>
      <c r="B17" s="48">
        <v>1.5672999999999999</v>
      </c>
    </row>
    <row r="18" spans="1:2" x14ac:dyDescent="0.15">
      <c r="A18" s="47">
        <v>40900</v>
      </c>
      <c r="B18" s="48">
        <v>1.5588</v>
      </c>
    </row>
    <row r="19" spans="1:2" x14ac:dyDescent="0.15">
      <c r="A19" s="47">
        <v>40903</v>
      </c>
      <c r="B19" s="48">
        <v>1.5627</v>
      </c>
    </row>
    <row r="20" spans="1:2" x14ac:dyDescent="0.15">
      <c r="A20" s="47">
        <v>40904</v>
      </c>
      <c r="B20" s="48">
        <v>1.5665</v>
      </c>
    </row>
    <row r="21" spans="1:2" x14ac:dyDescent="0.15">
      <c r="A21" s="47">
        <v>40905</v>
      </c>
      <c r="B21" s="48">
        <v>1.5449999999999999</v>
      </c>
    </row>
    <row r="22" spans="1:2" x14ac:dyDescent="0.15">
      <c r="A22" s="47">
        <v>40906</v>
      </c>
      <c r="B22" s="48">
        <v>1.5412999999999999</v>
      </c>
    </row>
    <row r="23" spans="1:2" x14ac:dyDescent="0.15">
      <c r="A23" s="47">
        <v>40907</v>
      </c>
      <c r="B23" s="48">
        <v>1.5535000000000001</v>
      </c>
    </row>
    <row r="24" spans="1:2" x14ac:dyDescent="0.15">
      <c r="A24" s="47">
        <v>40910</v>
      </c>
      <c r="B24" s="48">
        <v>1.5502</v>
      </c>
    </row>
    <row r="25" spans="1:2" x14ac:dyDescent="0.15">
      <c r="A25" s="47">
        <v>40911</v>
      </c>
      <c r="B25" s="48">
        <v>1.5645</v>
      </c>
    </row>
    <row r="26" spans="1:2" x14ac:dyDescent="0.15">
      <c r="A26" s="47">
        <v>40912</v>
      </c>
      <c r="B26" s="48">
        <v>1.5615000000000001</v>
      </c>
    </row>
    <row r="27" spans="1:2" x14ac:dyDescent="0.15">
      <c r="A27" s="47">
        <v>40913</v>
      </c>
      <c r="B27" s="48">
        <v>1.5482</v>
      </c>
    </row>
    <row r="28" spans="1:2" x14ac:dyDescent="0.15">
      <c r="A28" s="47">
        <v>40914</v>
      </c>
      <c r="B28" s="48">
        <v>1.5432999999999999</v>
      </c>
    </row>
    <row r="29" spans="1:2" x14ac:dyDescent="0.15">
      <c r="A29" s="47">
        <v>40917</v>
      </c>
      <c r="B29" s="48">
        <v>1.5457000000000001</v>
      </c>
    </row>
    <row r="30" spans="1:2" x14ac:dyDescent="0.15">
      <c r="A30" s="47">
        <v>40918</v>
      </c>
      <c r="B30" s="48">
        <v>1.5479000000000001</v>
      </c>
    </row>
    <row r="31" spans="1:2" x14ac:dyDescent="0.15">
      <c r="A31" s="47">
        <v>40919</v>
      </c>
      <c r="B31" s="48">
        <v>1.5318000000000001</v>
      </c>
    </row>
    <row r="32" spans="1:2" x14ac:dyDescent="0.15">
      <c r="A32" s="47">
        <v>40920</v>
      </c>
      <c r="B32" s="48">
        <v>1.5339</v>
      </c>
    </row>
    <row r="33" spans="1:2" x14ac:dyDescent="0.15">
      <c r="A33" s="47">
        <v>40921</v>
      </c>
      <c r="B33" s="48">
        <v>1.5317000000000001</v>
      </c>
    </row>
    <row r="34" spans="1:2" x14ac:dyDescent="0.15">
      <c r="A34" s="47">
        <v>40924</v>
      </c>
      <c r="B34" s="48">
        <v>1.532</v>
      </c>
    </row>
    <row r="35" spans="1:2" x14ac:dyDescent="0.15">
      <c r="A35" s="47">
        <v>40925</v>
      </c>
      <c r="B35" s="48">
        <v>1.5336000000000001</v>
      </c>
    </row>
    <row r="36" spans="1:2" x14ac:dyDescent="0.15">
      <c r="A36" s="47">
        <v>40926</v>
      </c>
      <c r="B36" s="48">
        <v>1.5429999999999999</v>
      </c>
    </row>
    <row r="37" spans="1:2" x14ac:dyDescent="0.15">
      <c r="A37" s="47">
        <v>40927</v>
      </c>
      <c r="B37" s="48">
        <v>1.5488999999999999</v>
      </c>
    </row>
    <row r="38" spans="1:2" x14ac:dyDescent="0.15">
      <c r="A38" s="47">
        <v>40928</v>
      </c>
      <c r="B38" s="48">
        <v>1.5569999999999999</v>
      </c>
    </row>
    <row r="39" spans="1:2" x14ac:dyDescent="0.15">
      <c r="A39" s="47">
        <v>40931</v>
      </c>
      <c r="B39" s="48">
        <v>1.5571999999999999</v>
      </c>
    </row>
    <row r="40" spans="1:2" x14ac:dyDescent="0.15">
      <c r="A40" s="47">
        <v>40932</v>
      </c>
      <c r="B40" s="48">
        <v>1.5612999999999999</v>
      </c>
    </row>
    <row r="41" spans="1:2" x14ac:dyDescent="0.15">
      <c r="A41" s="47">
        <v>40933</v>
      </c>
      <c r="B41" s="48">
        <v>1.5661</v>
      </c>
    </row>
    <row r="42" spans="1:2" x14ac:dyDescent="0.15">
      <c r="A42" s="47">
        <v>40934</v>
      </c>
      <c r="B42" s="48">
        <v>1.5684</v>
      </c>
    </row>
    <row r="43" spans="1:2" x14ac:dyDescent="0.15">
      <c r="A43" s="47">
        <v>40935</v>
      </c>
      <c r="B43" s="48">
        <v>1.5732999999999999</v>
      </c>
    </row>
    <row r="44" spans="1:2" x14ac:dyDescent="0.15">
      <c r="A44" s="47">
        <v>40938</v>
      </c>
      <c r="B44" s="48">
        <v>1.5701000000000001</v>
      </c>
    </row>
    <row r="45" spans="1:2" x14ac:dyDescent="0.15">
      <c r="A45" s="47">
        <v>40939</v>
      </c>
      <c r="B45" s="48">
        <v>1.5755999999999999</v>
      </c>
    </row>
    <row r="46" spans="1:2" x14ac:dyDescent="0.15">
      <c r="A46" s="47">
        <v>40940</v>
      </c>
      <c r="B46" s="48">
        <v>1.5828</v>
      </c>
    </row>
    <row r="47" spans="1:2" x14ac:dyDescent="0.15">
      <c r="A47" s="47">
        <v>40941</v>
      </c>
      <c r="B47" s="48">
        <v>1.5806</v>
      </c>
    </row>
    <row r="48" spans="1:2" x14ac:dyDescent="0.15">
      <c r="A48" s="47">
        <v>40942</v>
      </c>
      <c r="B48" s="48">
        <v>1.5811999999999999</v>
      </c>
    </row>
    <row r="49" spans="1:2" x14ac:dyDescent="0.15">
      <c r="A49" s="47">
        <v>40945</v>
      </c>
      <c r="B49" s="48">
        <v>1.5822000000000001</v>
      </c>
    </row>
    <row r="50" spans="1:2" x14ac:dyDescent="0.15">
      <c r="A50" s="47">
        <v>40946</v>
      </c>
      <c r="B50" s="48">
        <v>1.5903</v>
      </c>
    </row>
    <row r="51" spans="1:2" x14ac:dyDescent="0.15">
      <c r="A51" s="47">
        <v>40947</v>
      </c>
      <c r="B51" s="48">
        <v>1.5815999999999999</v>
      </c>
    </row>
    <row r="52" spans="1:2" x14ac:dyDescent="0.15">
      <c r="A52" s="47">
        <v>40948</v>
      </c>
      <c r="B52" s="48">
        <v>1.5815999999999999</v>
      </c>
    </row>
    <row r="53" spans="1:2" x14ac:dyDescent="0.15">
      <c r="A53" s="47">
        <v>40949</v>
      </c>
      <c r="B53" s="48">
        <v>1.5738000000000001</v>
      </c>
    </row>
    <row r="54" spans="1:2" x14ac:dyDescent="0.15">
      <c r="A54" s="47">
        <v>40952</v>
      </c>
      <c r="B54" s="48">
        <v>1.5766</v>
      </c>
    </row>
    <row r="55" spans="1:2" x14ac:dyDescent="0.15">
      <c r="A55" s="47">
        <v>40953</v>
      </c>
      <c r="B55" s="48">
        <v>1.5681</v>
      </c>
    </row>
    <row r="56" spans="1:2" x14ac:dyDescent="0.15">
      <c r="A56" s="47">
        <v>40954</v>
      </c>
      <c r="B56" s="48">
        <v>1.5696000000000001</v>
      </c>
    </row>
    <row r="57" spans="1:2" x14ac:dyDescent="0.15">
      <c r="A57" s="47">
        <v>40955</v>
      </c>
      <c r="B57" s="48">
        <v>1.5803</v>
      </c>
    </row>
    <row r="58" spans="1:2" x14ac:dyDescent="0.15">
      <c r="A58" s="47">
        <v>40956</v>
      </c>
      <c r="B58" s="48">
        <v>1.5835999999999999</v>
      </c>
    </row>
    <row r="59" spans="1:2" x14ac:dyDescent="0.15">
      <c r="A59" s="47">
        <v>40959</v>
      </c>
      <c r="B59" s="48">
        <v>1.5841000000000001</v>
      </c>
    </row>
    <row r="60" spans="1:2" x14ac:dyDescent="0.15">
      <c r="A60" s="47">
        <v>40960</v>
      </c>
      <c r="B60" s="48">
        <v>1.5783</v>
      </c>
    </row>
    <row r="61" spans="1:2" x14ac:dyDescent="0.15">
      <c r="A61" s="47">
        <v>40961</v>
      </c>
      <c r="B61" s="48">
        <v>1.5664</v>
      </c>
    </row>
    <row r="62" spans="1:2" x14ac:dyDescent="0.15">
      <c r="A62" s="47">
        <v>40962</v>
      </c>
      <c r="B62" s="48">
        <v>1.5734999999999999</v>
      </c>
    </row>
    <row r="63" spans="1:2" x14ac:dyDescent="0.15">
      <c r="A63" s="47">
        <v>40963</v>
      </c>
      <c r="B63" s="48">
        <v>1.5886</v>
      </c>
    </row>
    <row r="64" spans="1:2" x14ac:dyDescent="0.15">
      <c r="A64" s="47">
        <v>40966</v>
      </c>
      <c r="B64" s="48">
        <v>1.5819000000000001</v>
      </c>
    </row>
    <row r="65" spans="1:2" x14ac:dyDescent="0.15">
      <c r="A65" s="47">
        <v>40967</v>
      </c>
      <c r="B65" s="48">
        <v>1.5901000000000001</v>
      </c>
    </row>
    <row r="66" spans="1:2" x14ac:dyDescent="0.15">
      <c r="A66" s="47">
        <v>40968</v>
      </c>
      <c r="B66" s="48">
        <v>1.5915999999999999</v>
      </c>
    </row>
    <row r="67" spans="1:2" x14ac:dyDescent="0.15">
      <c r="A67" s="47">
        <v>40969</v>
      </c>
      <c r="B67" s="48">
        <v>1.5952</v>
      </c>
    </row>
    <row r="68" spans="1:2" x14ac:dyDescent="0.15">
      <c r="A68" s="47">
        <v>40970</v>
      </c>
      <c r="B68" s="48">
        <v>1.5835999999999999</v>
      </c>
    </row>
    <row r="69" spans="1:2" x14ac:dyDescent="0.15">
      <c r="A69" s="47">
        <v>40973</v>
      </c>
      <c r="B69" s="48">
        <v>1.5859000000000001</v>
      </c>
    </row>
    <row r="70" spans="1:2" x14ac:dyDescent="0.15">
      <c r="A70" s="47">
        <v>40974</v>
      </c>
      <c r="B70" s="48">
        <v>1.5718000000000001</v>
      </c>
    </row>
    <row r="71" spans="1:2" x14ac:dyDescent="0.15">
      <c r="A71" s="47">
        <v>40975</v>
      </c>
      <c r="B71" s="48">
        <v>1.5742</v>
      </c>
    </row>
    <row r="72" spans="1:2" x14ac:dyDescent="0.15">
      <c r="A72" s="47">
        <v>40976</v>
      </c>
      <c r="B72" s="48">
        <v>1.5824</v>
      </c>
    </row>
    <row r="73" spans="1:2" x14ac:dyDescent="0.15">
      <c r="A73" s="47">
        <v>40977</v>
      </c>
      <c r="B73" s="48">
        <v>1.5674999999999999</v>
      </c>
    </row>
    <row r="74" spans="1:2" x14ac:dyDescent="0.15">
      <c r="A74" s="47">
        <v>40980</v>
      </c>
      <c r="B74" s="48">
        <v>1.5636000000000001</v>
      </c>
    </row>
    <row r="75" spans="1:2" x14ac:dyDescent="0.15">
      <c r="A75" s="47">
        <v>40981</v>
      </c>
      <c r="B75" s="48">
        <v>1.5707</v>
      </c>
    </row>
    <row r="76" spans="1:2" x14ac:dyDescent="0.15">
      <c r="A76" s="47">
        <v>40982</v>
      </c>
      <c r="B76" s="48">
        <v>1.5671999999999999</v>
      </c>
    </row>
    <row r="77" spans="1:2" x14ac:dyDescent="0.15">
      <c r="A77" s="47">
        <v>40983</v>
      </c>
      <c r="B77" s="48">
        <v>1.5708</v>
      </c>
    </row>
    <row r="78" spans="1:2" x14ac:dyDescent="0.15">
      <c r="A78" s="47">
        <v>40984</v>
      </c>
      <c r="B78" s="48">
        <v>1.5843</v>
      </c>
    </row>
    <row r="79" spans="1:2" x14ac:dyDescent="0.15">
      <c r="A79" s="47">
        <v>40987</v>
      </c>
      <c r="B79" s="48">
        <v>1.5893999999999999</v>
      </c>
    </row>
    <row r="80" spans="1:2" x14ac:dyDescent="0.15">
      <c r="A80" s="47">
        <v>40988</v>
      </c>
      <c r="B80" s="48">
        <v>1.5858000000000001</v>
      </c>
    </row>
    <row r="81" spans="1:2" x14ac:dyDescent="0.15">
      <c r="A81" s="47">
        <v>40989</v>
      </c>
      <c r="B81" s="48">
        <v>1.587</v>
      </c>
    </row>
    <row r="82" spans="1:2" x14ac:dyDescent="0.15">
      <c r="A82" s="47">
        <v>40990</v>
      </c>
      <c r="B82" s="48">
        <v>1.5813999999999999</v>
      </c>
    </row>
    <row r="83" spans="1:2" x14ac:dyDescent="0.15">
      <c r="A83" s="47">
        <v>40991</v>
      </c>
      <c r="B83" s="48">
        <v>1.5866</v>
      </c>
    </row>
    <row r="84" spans="1:2" x14ac:dyDescent="0.15">
      <c r="A84" s="47">
        <v>40994</v>
      </c>
      <c r="B84" s="48">
        <v>1.5969</v>
      </c>
    </row>
    <row r="85" spans="1:2" x14ac:dyDescent="0.15">
      <c r="A85" s="47">
        <v>40995</v>
      </c>
      <c r="B85" s="48">
        <v>1.5947</v>
      </c>
    </row>
    <row r="86" spans="1:2" x14ac:dyDescent="0.15">
      <c r="A86" s="47">
        <v>40996</v>
      </c>
      <c r="B86" s="48">
        <v>1.5888</v>
      </c>
    </row>
    <row r="87" spans="1:2" x14ac:dyDescent="0.15">
      <c r="A87" s="47">
        <v>40997</v>
      </c>
      <c r="B87" s="48">
        <v>1.5952</v>
      </c>
    </row>
    <row r="88" spans="1:2" x14ac:dyDescent="0.15">
      <c r="A88" s="47">
        <v>40998</v>
      </c>
      <c r="B88" s="48">
        <v>1.601</v>
      </c>
    </row>
    <row r="89" spans="1:2" x14ac:dyDescent="0.15">
      <c r="A89" s="47">
        <v>41001</v>
      </c>
      <c r="B89" s="48">
        <v>1.6024</v>
      </c>
    </row>
    <row r="90" spans="1:2" x14ac:dyDescent="0.15">
      <c r="A90" s="47">
        <v>41002</v>
      </c>
      <c r="B90" s="48">
        <v>1.5911999999999999</v>
      </c>
    </row>
    <row r="91" spans="1:2" x14ac:dyDescent="0.15">
      <c r="A91" s="47">
        <v>41003</v>
      </c>
      <c r="B91" s="48">
        <v>1.5885</v>
      </c>
    </row>
    <row r="92" spans="1:2" x14ac:dyDescent="0.15">
      <c r="A92" s="47">
        <v>41004</v>
      </c>
      <c r="B92" s="48">
        <v>1.5826</v>
      </c>
    </row>
    <row r="93" spans="1:2" x14ac:dyDescent="0.15">
      <c r="A93" s="47">
        <v>41005</v>
      </c>
      <c r="B93" s="48">
        <v>1.5885</v>
      </c>
    </row>
    <row r="94" spans="1:2" x14ac:dyDescent="0.15">
      <c r="A94" s="47">
        <v>41008</v>
      </c>
      <c r="B94" s="48">
        <v>1.589</v>
      </c>
    </row>
    <row r="95" spans="1:2" x14ac:dyDescent="0.15">
      <c r="A95" s="47">
        <v>41009</v>
      </c>
      <c r="B95" s="48">
        <v>1.5859000000000001</v>
      </c>
    </row>
    <row r="96" spans="1:2" x14ac:dyDescent="0.15">
      <c r="A96" s="47">
        <v>41010</v>
      </c>
      <c r="B96" s="48">
        <v>1.5905</v>
      </c>
    </row>
    <row r="97" spans="1:2" x14ac:dyDescent="0.15">
      <c r="A97" s="47">
        <v>41011</v>
      </c>
      <c r="B97" s="48">
        <v>1.5958000000000001</v>
      </c>
    </row>
    <row r="98" spans="1:2" x14ac:dyDescent="0.15">
      <c r="A98" s="47">
        <v>41012</v>
      </c>
      <c r="B98" s="48">
        <v>1.5846</v>
      </c>
    </row>
    <row r="99" spans="1:2" x14ac:dyDescent="0.15">
      <c r="A99" s="47">
        <v>41015</v>
      </c>
      <c r="B99" s="48">
        <v>1.5898000000000001</v>
      </c>
    </row>
    <row r="100" spans="1:2" x14ac:dyDescent="0.15">
      <c r="A100" s="47">
        <v>41016</v>
      </c>
      <c r="B100" s="48">
        <v>1.5919000000000001</v>
      </c>
    </row>
    <row r="101" spans="1:2" x14ac:dyDescent="0.15">
      <c r="A101" s="47">
        <v>41017</v>
      </c>
      <c r="B101" s="48">
        <v>1.6020000000000001</v>
      </c>
    </row>
    <row r="102" spans="1:2" x14ac:dyDescent="0.15">
      <c r="A102" s="47">
        <v>41018</v>
      </c>
      <c r="B102" s="48">
        <v>1.6051</v>
      </c>
    </row>
    <row r="103" spans="1:2" x14ac:dyDescent="0.15">
      <c r="A103" s="47">
        <v>41019</v>
      </c>
      <c r="B103" s="48">
        <v>1.6124000000000001</v>
      </c>
    </row>
    <row r="104" spans="1:2" x14ac:dyDescent="0.15">
      <c r="A104" s="47">
        <v>41022</v>
      </c>
      <c r="B104" s="48">
        <v>1.6126</v>
      </c>
    </row>
    <row r="105" spans="1:2" x14ac:dyDescent="0.15">
      <c r="A105" s="47">
        <v>41023</v>
      </c>
      <c r="B105" s="48">
        <v>1.6138999999999999</v>
      </c>
    </row>
    <row r="106" spans="1:2" x14ac:dyDescent="0.15">
      <c r="A106" s="47">
        <v>41024</v>
      </c>
      <c r="B106" s="48">
        <v>1.6166</v>
      </c>
    </row>
    <row r="107" spans="1:2" x14ac:dyDescent="0.15">
      <c r="A107" s="47">
        <v>41025</v>
      </c>
      <c r="B107" s="48">
        <v>1.6173999999999999</v>
      </c>
    </row>
    <row r="108" spans="1:2" x14ac:dyDescent="0.15">
      <c r="A108" s="47">
        <v>41026</v>
      </c>
      <c r="B108" s="48">
        <v>1.6265000000000001</v>
      </c>
    </row>
    <row r="109" spans="1:2" x14ac:dyDescent="0.15">
      <c r="A109" s="47">
        <v>41029</v>
      </c>
      <c r="B109" s="48">
        <v>1.6231</v>
      </c>
    </row>
    <row r="110" spans="1:2" x14ac:dyDescent="0.15">
      <c r="A110" s="47">
        <v>41030</v>
      </c>
      <c r="B110" s="48">
        <v>1.6217999999999999</v>
      </c>
    </row>
    <row r="111" spans="1:2" x14ac:dyDescent="0.15">
      <c r="A111" s="47">
        <v>41031</v>
      </c>
      <c r="B111" s="48">
        <v>1.6198999999999999</v>
      </c>
    </row>
    <row r="112" spans="1:2" x14ac:dyDescent="0.15">
      <c r="A112" s="47">
        <v>41032</v>
      </c>
      <c r="B112" s="48">
        <v>1.6181000000000001</v>
      </c>
    </row>
    <row r="113" spans="1:2" x14ac:dyDescent="0.15">
      <c r="A113" s="47">
        <v>41033</v>
      </c>
      <c r="B113" s="48">
        <v>1.6153</v>
      </c>
    </row>
    <row r="114" spans="1:2" x14ac:dyDescent="0.15">
      <c r="A114" s="47">
        <v>41036</v>
      </c>
      <c r="B114" s="48">
        <v>1.619</v>
      </c>
    </row>
    <row r="115" spans="1:2" x14ac:dyDescent="0.15">
      <c r="A115" s="47">
        <v>41037</v>
      </c>
      <c r="B115" s="48">
        <v>1.6155999999999999</v>
      </c>
    </row>
    <row r="116" spans="1:2" x14ac:dyDescent="0.15">
      <c r="A116" s="47">
        <v>41038</v>
      </c>
      <c r="B116" s="48">
        <v>1.6131</v>
      </c>
    </row>
    <row r="117" spans="1:2" x14ac:dyDescent="0.15">
      <c r="A117" s="47">
        <v>41039</v>
      </c>
      <c r="B117" s="48">
        <v>1.6143000000000001</v>
      </c>
    </row>
    <row r="118" spans="1:2" x14ac:dyDescent="0.15">
      <c r="A118" s="47">
        <v>41040</v>
      </c>
      <c r="B118" s="48">
        <v>1.607</v>
      </c>
    </row>
    <row r="119" spans="1:2" x14ac:dyDescent="0.15">
      <c r="A119" s="47">
        <v>41043</v>
      </c>
      <c r="B119" s="48">
        <v>1.6091</v>
      </c>
    </row>
    <row r="120" spans="1:2" x14ac:dyDescent="0.15">
      <c r="A120" s="47">
        <v>41044</v>
      </c>
      <c r="B120" s="48">
        <v>1.5992</v>
      </c>
    </row>
    <row r="121" spans="1:2" x14ac:dyDescent="0.15">
      <c r="A121" s="47">
        <v>41045</v>
      </c>
      <c r="B121" s="48">
        <v>1.591</v>
      </c>
    </row>
    <row r="122" spans="1:2" x14ac:dyDescent="0.15">
      <c r="A122" s="47">
        <v>41046</v>
      </c>
      <c r="B122" s="48">
        <v>1.5793999999999999</v>
      </c>
    </row>
    <row r="123" spans="1:2" x14ac:dyDescent="0.15">
      <c r="A123" s="47">
        <v>41047</v>
      </c>
      <c r="B123" s="48">
        <v>1.5814999999999999</v>
      </c>
    </row>
    <row r="124" spans="1:2" x14ac:dyDescent="0.15">
      <c r="A124" s="47">
        <v>41050</v>
      </c>
      <c r="B124" s="48">
        <v>1.5828</v>
      </c>
    </row>
    <row r="125" spans="1:2" x14ac:dyDescent="0.15">
      <c r="A125" s="47">
        <v>41051</v>
      </c>
      <c r="B125" s="48">
        <v>1.5761000000000001</v>
      </c>
    </row>
    <row r="126" spans="1:2" x14ac:dyDescent="0.15">
      <c r="A126" s="47">
        <v>41052</v>
      </c>
      <c r="B126" s="48">
        <v>1.5686</v>
      </c>
    </row>
    <row r="127" spans="1:2" x14ac:dyDescent="0.15">
      <c r="A127" s="47">
        <v>41053</v>
      </c>
      <c r="B127" s="48">
        <v>1.5669</v>
      </c>
    </row>
    <row r="128" spans="1:2" x14ac:dyDescent="0.15">
      <c r="A128" s="47">
        <v>41054</v>
      </c>
      <c r="B128" s="48">
        <v>1.5659000000000001</v>
      </c>
    </row>
    <row r="129" spans="1:2" x14ac:dyDescent="0.15">
      <c r="A129" s="47">
        <v>41057</v>
      </c>
      <c r="B129" s="48">
        <v>1.5680000000000001</v>
      </c>
    </row>
    <row r="130" spans="1:2" x14ac:dyDescent="0.15">
      <c r="A130" s="47">
        <v>41058</v>
      </c>
      <c r="B130" s="48">
        <v>1.5639000000000001</v>
      </c>
    </row>
    <row r="131" spans="1:2" x14ac:dyDescent="0.15">
      <c r="A131" s="47">
        <v>41059</v>
      </c>
      <c r="B131" s="48">
        <v>1.548</v>
      </c>
    </row>
    <row r="132" spans="1:2" x14ac:dyDescent="0.15">
      <c r="A132" s="47">
        <v>41060</v>
      </c>
      <c r="B132" s="48">
        <v>1.5403</v>
      </c>
    </row>
    <row r="133" spans="1:2" x14ac:dyDescent="0.15">
      <c r="A133" s="47">
        <v>41061</v>
      </c>
      <c r="B133" s="48">
        <v>1.5361</v>
      </c>
    </row>
    <row r="134" spans="1:2" x14ac:dyDescent="0.15">
      <c r="A134" s="47">
        <v>41064</v>
      </c>
      <c r="B134" s="48">
        <v>1.538</v>
      </c>
    </row>
    <row r="135" spans="1:2" x14ac:dyDescent="0.15">
      <c r="A135" s="47">
        <v>41065</v>
      </c>
      <c r="B135" s="48">
        <v>1.5379</v>
      </c>
    </row>
    <row r="136" spans="1:2" x14ac:dyDescent="0.15">
      <c r="A136" s="47">
        <v>41066</v>
      </c>
      <c r="B136" s="48">
        <v>1.5489999999999999</v>
      </c>
    </row>
    <row r="137" spans="1:2" x14ac:dyDescent="0.15">
      <c r="A137" s="47">
        <v>41067</v>
      </c>
      <c r="B137" s="48">
        <v>1.5528</v>
      </c>
    </row>
    <row r="138" spans="1:2" x14ac:dyDescent="0.15">
      <c r="A138" s="47">
        <v>41068</v>
      </c>
      <c r="B138" s="48">
        <v>1.5471999999999999</v>
      </c>
    </row>
    <row r="139" spans="1:2" x14ac:dyDescent="0.15">
      <c r="A139" s="47">
        <v>41071</v>
      </c>
      <c r="B139" s="48">
        <v>1.5477000000000001</v>
      </c>
    </row>
    <row r="140" spans="1:2" x14ac:dyDescent="0.15">
      <c r="A140" s="47">
        <v>41072</v>
      </c>
      <c r="B140" s="48">
        <v>1.5575000000000001</v>
      </c>
    </row>
    <row r="141" spans="1:2" x14ac:dyDescent="0.15">
      <c r="A141" s="47">
        <v>41073</v>
      </c>
      <c r="B141" s="48">
        <v>1.5507</v>
      </c>
    </row>
    <row r="142" spans="1:2" x14ac:dyDescent="0.15">
      <c r="A142" s="47">
        <v>41074</v>
      </c>
      <c r="B142" s="48">
        <v>1.5553999999999999</v>
      </c>
    </row>
    <row r="143" spans="1:2" x14ac:dyDescent="0.15">
      <c r="A143" s="47">
        <v>41075</v>
      </c>
      <c r="B143" s="48">
        <v>1.5714999999999999</v>
      </c>
    </row>
    <row r="144" spans="1:2" x14ac:dyDescent="0.15">
      <c r="A144" s="47">
        <v>41078</v>
      </c>
      <c r="B144" s="48">
        <v>1.5668</v>
      </c>
    </row>
    <row r="145" spans="1:2" x14ac:dyDescent="0.15">
      <c r="A145" s="47">
        <v>41079</v>
      </c>
      <c r="B145" s="48">
        <v>1.5723</v>
      </c>
    </row>
    <row r="146" spans="1:2" x14ac:dyDescent="0.15">
      <c r="A146" s="47">
        <v>41080</v>
      </c>
      <c r="B146" s="48">
        <v>1.5714999999999999</v>
      </c>
    </row>
    <row r="147" spans="1:2" x14ac:dyDescent="0.15">
      <c r="A147" s="47">
        <v>41081</v>
      </c>
      <c r="B147" s="48">
        <v>1.5587</v>
      </c>
    </row>
    <row r="148" spans="1:2" x14ac:dyDescent="0.15">
      <c r="A148" s="47">
        <v>41082</v>
      </c>
      <c r="B148" s="48">
        <v>1.5588</v>
      </c>
    </row>
    <row r="149" spans="1:2" x14ac:dyDescent="0.15">
      <c r="A149" s="47">
        <v>41085</v>
      </c>
      <c r="B149" s="48">
        <v>1.5571999999999999</v>
      </c>
    </row>
    <row r="150" spans="1:2" x14ac:dyDescent="0.15">
      <c r="A150" s="47">
        <v>41086</v>
      </c>
      <c r="B150" s="48">
        <v>1.5637000000000001</v>
      </c>
    </row>
    <row r="151" spans="1:2" x14ac:dyDescent="0.15">
      <c r="A151" s="47">
        <v>41087</v>
      </c>
      <c r="B151" s="48">
        <v>1.5568</v>
      </c>
    </row>
    <row r="152" spans="1:2" x14ac:dyDescent="0.15">
      <c r="A152" s="47">
        <v>41088</v>
      </c>
      <c r="B152" s="48">
        <v>1.5510999999999999</v>
      </c>
    </row>
    <row r="153" spans="1:2" x14ac:dyDescent="0.15">
      <c r="A153" s="47">
        <v>41089</v>
      </c>
      <c r="B153" s="48">
        <v>1.5705</v>
      </c>
    </row>
    <row r="154" spans="1:2" x14ac:dyDescent="0.15">
      <c r="A154" s="47">
        <v>41092</v>
      </c>
      <c r="B154" s="48">
        <v>1.5693999999999999</v>
      </c>
    </row>
    <row r="155" spans="1:2" x14ac:dyDescent="0.15">
      <c r="A155" s="47">
        <v>41093</v>
      </c>
      <c r="B155" s="48">
        <v>1.5686</v>
      </c>
    </row>
    <row r="156" spans="1:2" x14ac:dyDescent="0.15">
      <c r="A156" s="47">
        <v>41094</v>
      </c>
      <c r="B156" s="48">
        <v>1.5591999999999999</v>
      </c>
    </row>
    <row r="157" spans="1:2" x14ac:dyDescent="0.15">
      <c r="A157" s="47">
        <v>41095</v>
      </c>
      <c r="B157" s="48">
        <v>1.5524</v>
      </c>
    </row>
    <row r="158" spans="1:2" x14ac:dyDescent="0.15">
      <c r="A158" s="47">
        <v>41096</v>
      </c>
      <c r="B158" s="48">
        <v>1.5488</v>
      </c>
    </row>
    <row r="159" spans="1:2" x14ac:dyDescent="0.15">
      <c r="A159" s="47">
        <v>41099</v>
      </c>
      <c r="B159" s="48">
        <v>1.5526</v>
      </c>
    </row>
    <row r="160" spans="1:2" x14ac:dyDescent="0.15">
      <c r="A160" s="47">
        <v>41100</v>
      </c>
      <c r="B160" s="48">
        <v>1.5513999999999999</v>
      </c>
    </row>
    <row r="161" spans="1:2" x14ac:dyDescent="0.15">
      <c r="A161" s="47">
        <v>41101</v>
      </c>
      <c r="B161" s="48">
        <v>1.5501</v>
      </c>
    </row>
    <row r="162" spans="1:2" x14ac:dyDescent="0.15">
      <c r="A162" s="47">
        <v>41102</v>
      </c>
      <c r="B162" s="48">
        <v>1.5422</v>
      </c>
    </row>
    <row r="163" spans="1:2" x14ac:dyDescent="0.15">
      <c r="A163" s="47">
        <v>41103</v>
      </c>
      <c r="B163" s="48">
        <v>1.5571999999999999</v>
      </c>
    </row>
    <row r="164" spans="1:2" x14ac:dyDescent="0.15">
      <c r="A164" s="47">
        <v>41106</v>
      </c>
      <c r="B164" s="48">
        <v>1.5633999999999999</v>
      </c>
    </row>
    <row r="165" spans="1:2" x14ac:dyDescent="0.15">
      <c r="A165" s="47">
        <v>41107</v>
      </c>
      <c r="B165" s="48">
        <v>1.5651999999999999</v>
      </c>
    </row>
    <row r="166" spans="1:2" x14ac:dyDescent="0.15">
      <c r="A166" s="47">
        <v>41108</v>
      </c>
      <c r="B166" s="48">
        <v>1.5652999999999999</v>
      </c>
    </row>
    <row r="167" spans="1:2" x14ac:dyDescent="0.15">
      <c r="A167" s="47">
        <v>41109</v>
      </c>
      <c r="B167" s="48">
        <v>1.5723</v>
      </c>
    </row>
    <row r="168" spans="1:2" x14ac:dyDescent="0.15">
      <c r="A168" s="47">
        <v>41110</v>
      </c>
      <c r="B168" s="48">
        <v>1.5619000000000001</v>
      </c>
    </row>
    <row r="169" spans="1:2" x14ac:dyDescent="0.15">
      <c r="A169" s="47">
        <v>41113</v>
      </c>
      <c r="B169" s="48">
        <v>1.5505</v>
      </c>
    </row>
    <row r="170" spans="1:2" x14ac:dyDescent="0.15">
      <c r="A170" s="47">
        <v>41114</v>
      </c>
      <c r="B170" s="48">
        <v>1.5505</v>
      </c>
    </row>
    <row r="171" spans="1:2" x14ac:dyDescent="0.15">
      <c r="A171" s="47">
        <v>41115</v>
      </c>
      <c r="B171" s="48">
        <v>1.5495000000000001</v>
      </c>
    </row>
    <row r="172" spans="1:2" x14ac:dyDescent="0.15">
      <c r="A172" s="47">
        <v>41116</v>
      </c>
      <c r="B172" s="48">
        <v>1.5685</v>
      </c>
    </row>
    <row r="173" spans="1:2" x14ac:dyDescent="0.15">
      <c r="A173" s="47">
        <v>41117</v>
      </c>
      <c r="B173" s="48">
        <v>1.5746</v>
      </c>
    </row>
    <row r="174" spans="1:2" x14ac:dyDescent="0.15">
      <c r="A174" s="47">
        <v>41120</v>
      </c>
      <c r="B174" s="48">
        <v>1.5709</v>
      </c>
    </row>
    <row r="175" spans="1:2" x14ac:dyDescent="0.15">
      <c r="A175" s="47">
        <v>41121</v>
      </c>
      <c r="B175" s="48">
        <v>1.5676000000000001</v>
      </c>
    </row>
    <row r="176" spans="1:2" x14ac:dyDescent="0.15">
      <c r="A176" s="47">
        <v>41122</v>
      </c>
      <c r="B176" s="48">
        <v>1.5535000000000001</v>
      </c>
    </row>
    <row r="177" spans="1:2" x14ac:dyDescent="0.15">
      <c r="A177" s="47">
        <v>41123</v>
      </c>
      <c r="B177" s="48">
        <v>1.5513999999999999</v>
      </c>
    </row>
    <row r="178" spans="1:2" x14ac:dyDescent="0.15">
      <c r="A178" s="47">
        <v>41124</v>
      </c>
      <c r="B178" s="48">
        <v>1.5641</v>
      </c>
    </row>
    <row r="179" spans="1:2" x14ac:dyDescent="0.15">
      <c r="A179" s="47">
        <v>41127</v>
      </c>
      <c r="B179" s="48">
        <v>1.5601</v>
      </c>
    </row>
    <row r="180" spans="1:2" x14ac:dyDescent="0.15">
      <c r="A180" s="47">
        <v>41128</v>
      </c>
      <c r="B180" s="48">
        <v>1.5620000000000001</v>
      </c>
    </row>
    <row r="181" spans="1:2" x14ac:dyDescent="0.15">
      <c r="A181" s="47">
        <v>41129</v>
      </c>
      <c r="B181" s="48">
        <v>1.5652999999999999</v>
      </c>
    </row>
    <row r="182" spans="1:2" x14ac:dyDescent="0.15">
      <c r="A182" s="47">
        <v>41130</v>
      </c>
      <c r="B182" s="48">
        <v>1.5637000000000001</v>
      </c>
    </row>
    <row r="183" spans="1:2" x14ac:dyDescent="0.15">
      <c r="A183" s="47">
        <v>41131</v>
      </c>
      <c r="B183" s="48">
        <v>1.569</v>
      </c>
    </row>
    <row r="184" spans="1:2" x14ac:dyDescent="0.15">
      <c r="A184" s="47">
        <v>41134</v>
      </c>
      <c r="B184" s="48">
        <v>1.5682</v>
      </c>
    </row>
    <row r="185" spans="1:2" x14ac:dyDescent="0.15">
      <c r="A185" s="47">
        <v>41135</v>
      </c>
      <c r="B185" s="48">
        <v>1.5674999999999999</v>
      </c>
    </row>
    <row r="186" spans="1:2" x14ac:dyDescent="0.15">
      <c r="A186" s="47">
        <v>41136</v>
      </c>
      <c r="B186" s="48">
        <v>1.5682</v>
      </c>
    </row>
    <row r="187" spans="1:2" x14ac:dyDescent="0.15">
      <c r="A187" s="47">
        <v>41137</v>
      </c>
      <c r="B187" s="48">
        <v>1.5730999999999999</v>
      </c>
    </row>
    <row r="188" spans="1:2" x14ac:dyDescent="0.15">
      <c r="A188" s="47">
        <v>41138</v>
      </c>
      <c r="B188" s="48">
        <v>1.5698000000000001</v>
      </c>
    </row>
    <row r="189" spans="1:2" x14ac:dyDescent="0.15">
      <c r="A189" s="47">
        <v>41141</v>
      </c>
      <c r="B189" s="48">
        <v>1.571</v>
      </c>
    </row>
    <row r="190" spans="1:2" x14ac:dyDescent="0.15">
      <c r="A190" s="47">
        <v>41142</v>
      </c>
      <c r="B190" s="48">
        <v>1.5783</v>
      </c>
    </row>
    <row r="191" spans="1:2" x14ac:dyDescent="0.15">
      <c r="A191" s="47">
        <v>41143</v>
      </c>
      <c r="B191" s="48">
        <v>1.5880000000000001</v>
      </c>
    </row>
    <row r="192" spans="1:2" x14ac:dyDescent="0.15">
      <c r="A192" s="47">
        <v>41144</v>
      </c>
      <c r="B192" s="48">
        <v>1.5857000000000001</v>
      </c>
    </row>
    <row r="193" spans="1:2" x14ac:dyDescent="0.15">
      <c r="A193" s="47">
        <v>41145</v>
      </c>
      <c r="B193" s="48">
        <v>1.5809</v>
      </c>
    </row>
    <row r="194" spans="1:2" x14ac:dyDescent="0.15">
      <c r="A194" s="47">
        <v>41148</v>
      </c>
      <c r="B194" s="48">
        <v>1.5791999999999999</v>
      </c>
    </row>
    <row r="195" spans="1:2" x14ac:dyDescent="0.15">
      <c r="A195" s="47">
        <v>41149</v>
      </c>
      <c r="B195" s="48">
        <v>1.5815999999999999</v>
      </c>
    </row>
    <row r="196" spans="1:2" x14ac:dyDescent="0.15">
      <c r="A196" s="47">
        <v>41150</v>
      </c>
      <c r="B196" s="48">
        <v>1.583</v>
      </c>
    </row>
    <row r="197" spans="1:2" x14ac:dyDescent="0.15">
      <c r="A197" s="47">
        <v>41151</v>
      </c>
      <c r="B197" s="48">
        <v>1.5784</v>
      </c>
    </row>
    <row r="198" spans="1:2" x14ac:dyDescent="0.15">
      <c r="A198" s="47">
        <v>41152</v>
      </c>
      <c r="B198" s="48">
        <v>1.5864</v>
      </c>
    </row>
    <row r="199" spans="1:2" x14ac:dyDescent="0.15">
      <c r="A199" s="47">
        <v>41155</v>
      </c>
      <c r="B199" s="48">
        <v>1.5885</v>
      </c>
    </row>
    <row r="200" spans="1:2" x14ac:dyDescent="0.15">
      <c r="A200" s="47">
        <v>41156</v>
      </c>
      <c r="B200" s="48">
        <v>1.5868</v>
      </c>
    </row>
    <row r="201" spans="1:2" x14ac:dyDescent="0.15">
      <c r="A201" s="47">
        <v>41157</v>
      </c>
      <c r="B201" s="48">
        <v>1.5899000000000001</v>
      </c>
    </row>
    <row r="202" spans="1:2" x14ac:dyDescent="0.15">
      <c r="A202" s="47">
        <v>41158</v>
      </c>
      <c r="B202" s="48">
        <v>1.5931</v>
      </c>
    </row>
    <row r="203" spans="1:2" x14ac:dyDescent="0.15">
      <c r="A203" s="47">
        <v>41159</v>
      </c>
      <c r="B203" s="48">
        <v>1.6005</v>
      </c>
    </row>
    <row r="204" spans="1:2" x14ac:dyDescent="0.15">
      <c r="A204" s="47">
        <v>41162</v>
      </c>
      <c r="B204" s="48">
        <v>1.5988</v>
      </c>
    </row>
    <row r="205" spans="1:2" x14ac:dyDescent="0.15">
      <c r="A205" s="47">
        <v>41163</v>
      </c>
      <c r="B205" s="48">
        <v>1.6068</v>
      </c>
    </row>
    <row r="206" spans="1:2" x14ac:dyDescent="0.15">
      <c r="A206" s="47">
        <v>41164</v>
      </c>
      <c r="B206" s="48">
        <v>1.6106</v>
      </c>
    </row>
    <row r="207" spans="1:2" x14ac:dyDescent="0.15">
      <c r="A207" s="47">
        <v>41165</v>
      </c>
      <c r="B207" s="48">
        <v>1.6152</v>
      </c>
    </row>
    <row r="208" spans="1:2" x14ac:dyDescent="0.15">
      <c r="A208" s="47">
        <v>41166</v>
      </c>
      <c r="B208" s="48">
        <v>1.6213</v>
      </c>
    </row>
    <row r="209" spans="1:2" x14ac:dyDescent="0.15">
      <c r="A209" s="47">
        <v>41169</v>
      </c>
      <c r="B209" s="48">
        <v>1.6246</v>
      </c>
    </row>
    <row r="210" spans="1:2" x14ac:dyDescent="0.15">
      <c r="A210" s="47">
        <v>41170</v>
      </c>
      <c r="B210" s="48">
        <v>1.6242000000000001</v>
      </c>
    </row>
    <row r="211" spans="1:2" x14ac:dyDescent="0.15">
      <c r="A211" s="47">
        <v>41171</v>
      </c>
      <c r="B211" s="48">
        <v>1.6220000000000001</v>
      </c>
    </row>
    <row r="212" spans="1:2" x14ac:dyDescent="0.15">
      <c r="A212" s="47">
        <v>41172</v>
      </c>
      <c r="B212" s="48">
        <v>1.6214</v>
      </c>
    </row>
    <row r="213" spans="1:2" x14ac:dyDescent="0.15">
      <c r="A213" s="47">
        <v>41173</v>
      </c>
      <c r="B213" s="48">
        <v>1.6227</v>
      </c>
    </row>
    <row r="214" spans="1:2" x14ac:dyDescent="0.15">
      <c r="A214" s="47">
        <v>41176</v>
      </c>
      <c r="B214" s="48">
        <v>1.6218999999999999</v>
      </c>
    </row>
    <row r="215" spans="1:2" x14ac:dyDescent="0.15">
      <c r="A215" s="47">
        <v>41177</v>
      </c>
      <c r="B215" s="48">
        <v>1.6186</v>
      </c>
    </row>
    <row r="216" spans="1:2" x14ac:dyDescent="0.15">
      <c r="A216" s="47">
        <v>41178</v>
      </c>
      <c r="B216" s="48">
        <v>1.6164000000000001</v>
      </c>
    </row>
    <row r="217" spans="1:2" x14ac:dyDescent="0.15">
      <c r="A217" s="47">
        <v>41179</v>
      </c>
      <c r="B217" s="48">
        <v>1.6234999999999999</v>
      </c>
    </row>
    <row r="218" spans="1:2" x14ac:dyDescent="0.15">
      <c r="A218" s="47">
        <v>41180</v>
      </c>
      <c r="B218" s="48">
        <v>1.6164000000000001</v>
      </c>
    </row>
    <row r="219" spans="1:2" x14ac:dyDescent="0.15">
      <c r="A219" s="47">
        <v>41183</v>
      </c>
      <c r="B219" s="48">
        <v>1.6128</v>
      </c>
    </row>
    <row r="220" spans="1:2" x14ac:dyDescent="0.15">
      <c r="A220" s="47">
        <v>41184</v>
      </c>
      <c r="B220" s="48">
        <v>1.6132</v>
      </c>
    </row>
    <row r="221" spans="1:2" x14ac:dyDescent="0.15">
      <c r="A221" s="47">
        <v>41185</v>
      </c>
      <c r="B221" s="48">
        <v>1.6073999999999999</v>
      </c>
    </row>
    <row r="222" spans="1:2" x14ac:dyDescent="0.15">
      <c r="A222" s="47">
        <v>41186</v>
      </c>
      <c r="B222" s="48">
        <v>1.619</v>
      </c>
    </row>
    <row r="223" spans="1:2" x14ac:dyDescent="0.15">
      <c r="A223" s="47">
        <v>41187</v>
      </c>
      <c r="B223" s="48">
        <v>1.6133999999999999</v>
      </c>
    </row>
    <row r="224" spans="1:2" x14ac:dyDescent="0.15">
      <c r="A224" s="47">
        <v>41190</v>
      </c>
      <c r="B224" s="48">
        <v>1.6026</v>
      </c>
    </row>
    <row r="225" spans="1:2" x14ac:dyDescent="0.15">
      <c r="A225" s="47">
        <v>41191</v>
      </c>
      <c r="B225" s="48">
        <v>1.6001000000000001</v>
      </c>
    </row>
    <row r="226" spans="1:2" x14ac:dyDescent="0.15">
      <c r="A226" s="47">
        <v>41192</v>
      </c>
      <c r="B226" s="48">
        <v>1.6003000000000001</v>
      </c>
    </row>
    <row r="227" spans="1:2" x14ac:dyDescent="0.15">
      <c r="A227" s="47">
        <v>41193</v>
      </c>
      <c r="B227" s="48">
        <v>1.6044</v>
      </c>
    </row>
    <row r="228" spans="1:2" x14ac:dyDescent="0.15">
      <c r="A228" s="47">
        <v>41194</v>
      </c>
      <c r="B228" s="48">
        <v>1.607</v>
      </c>
    </row>
    <row r="229" spans="1:2" x14ac:dyDescent="0.15">
      <c r="A229" s="47">
        <v>41197</v>
      </c>
      <c r="B229" s="48">
        <v>1.6068</v>
      </c>
    </row>
    <row r="230" spans="1:2" x14ac:dyDescent="0.15">
      <c r="A230" s="47">
        <v>41198</v>
      </c>
      <c r="B230" s="48">
        <v>1.611</v>
      </c>
    </row>
    <row r="231" spans="1:2" x14ac:dyDescent="0.15">
      <c r="A231" s="47">
        <v>41199</v>
      </c>
      <c r="B231" s="48">
        <v>1.6148</v>
      </c>
    </row>
    <row r="232" spans="1:2" x14ac:dyDescent="0.15">
      <c r="A232" s="47">
        <v>41200</v>
      </c>
      <c r="B232" s="48">
        <v>1.6043000000000001</v>
      </c>
    </row>
    <row r="233" spans="1:2" x14ac:dyDescent="0.15">
      <c r="A233" s="47">
        <v>41201</v>
      </c>
      <c r="B233" s="48">
        <v>1.6003000000000001</v>
      </c>
    </row>
    <row r="234" spans="1:2" x14ac:dyDescent="0.15">
      <c r="A234" s="47">
        <v>41204</v>
      </c>
      <c r="B234" s="48">
        <v>1.6012</v>
      </c>
    </row>
    <row r="235" spans="1:2" x14ac:dyDescent="0.15">
      <c r="A235" s="47">
        <v>41205</v>
      </c>
      <c r="B235" s="48">
        <v>1.5951</v>
      </c>
    </row>
    <row r="236" spans="1:2" x14ac:dyDescent="0.15">
      <c r="A236" s="47">
        <v>41206</v>
      </c>
      <c r="B236" s="48">
        <v>1.6035999999999999</v>
      </c>
    </row>
    <row r="237" spans="1:2" x14ac:dyDescent="0.15">
      <c r="A237" s="47">
        <v>41207</v>
      </c>
      <c r="B237" s="48">
        <v>1.6115999999999999</v>
      </c>
    </row>
    <row r="238" spans="1:2" x14ac:dyDescent="0.15">
      <c r="A238" s="47">
        <v>41208</v>
      </c>
      <c r="B238" s="48">
        <v>1.6103000000000001</v>
      </c>
    </row>
    <row r="239" spans="1:2" x14ac:dyDescent="0.15">
      <c r="A239" s="47">
        <v>41211</v>
      </c>
      <c r="B239" s="48">
        <v>1.603</v>
      </c>
    </row>
    <row r="240" spans="1:2" x14ac:dyDescent="0.15">
      <c r="A240" s="47">
        <v>41212</v>
      </c>
      <c r="B240" s="48">
        <v>1.6072</v>
      </c>
    </row>
    <row r="241" spans="1:2" x14ac:dyDescent="0.15">
      <c r="A241" s="47">
        <v>41213</v>
      </c>
      <c r="B241" s="48">
        <v>1.6128</v>
      </c>
    </row>
    <row r="242" spans="1:2" x14ac:dyDescent="0.15">
      <c r="A242" s="47">
        <v>41214</v>
      </c>
      <c r="B242" s="48">
        <v>1.613</v>
      </c>
    </row>
    <row r="243" spans="1:2" x14ac:dyDescent="0.15">
      <c r="A243" s="47">
        <v>41215</v>
      </c>
      <c r="B243" s="48">
        <v>1.6023000000000001</v>
      </c>
    </row>
    <row r="244" spans="1:2" x14ac:dyDescent="0.15">
      <c r="A244" s="47">
        <v>41218</v>
      </c>
      <c r="B244" s="48">
        <v>1.5976999999999999</v>
      </c>
    </row>
    <row r="245" spans="1:2" x14ac:dyDescent="0.15">
      <c r="A245" s="47">
        <v>41219</v>
      </c>
      <c r="B245" s="48">
        <v>1.5994999999999999</v>
      </c>
    </row>
    <row r="246" spans="1:2" x14ac:dyDescent="0.15">
      <c r="A246" s="47">
        <v>41220</v>
      </c>
      <c r="B246" s="48">
        <v>1.5984</v>
      </c>
    </row>
    <row r="247" spans="1:2" x14ac:dyDescent="0.15">
      <c r="A247" s="47">
        <v>41221</v>
      </c>
      <c r="B247" s="48">
        <v>1.5980000000000001</v>
      </c>
    </row>
    <row r="248" spans="1:2" x14ac:dyDescent="0.15">
      <c r="A248" s="47">
        <v>41222</v>
      </c>
      <c r="B248" s="48">
        <v>1.5892999999999999</v>
      </c>
    </row>
    <row r="249" spans="1:2" x14ac:dyDescent="0.15">
      <c r="A249" s="47">
        <v>41225</v>
      </c>
      <c r="B249" s="48">
        <v>1.5873999999999999</v>
      </c>
    </row>
    <row r="250" spans="1:2" x14ac:dyDescent="0.15">
      <c r="A250" s="47">
        <v>41226</v>
      </c>
      <c r="B250" s="48">
        <v>1.5869</v>
      </c>
    </row>
    <row r="251" spans="1:2" x14ac:dyDescent="0.15">
      <c r="A251" s="47">
        <v>41227</v>
      </c>
      <c r="B251" s="48">
        <v>1.5839000000000001</v>
      </c>
    </row>
    <row r="252" spans="1:2" x14ac:dyDescent="0.15">
      <c r="A252" s="47">
        <v>41228</v>
      </c>
      <c r="B252" s="48">
        <v>1.5865</v>
      </c>
    </row>
    <row r="253" spans="1:2" x14ac:dyDescent="0.15">
      <c r="A253" s="47">
        <v>41229</v>
      </c>
      <c r="B253" s="48">
        <v>1.5883</v>
      </c>
    </row>
    <row r="254" spans="1:2" x14ac:dyDescent="0.15">
      <c r="A254" s="47">
        <v>41232</v>
      </c>
      <c r="B254" s="48">
        <v>1.5906</v>
      </c>
    </row>
    <row r="255" spans="1:2" x14ac:dyDescent="0.15">
      <c r="A255" s="47">
        <v>41233</v>
      </c>
      <c r="B255" s="48">
        <v>1.5926</v>
      </c>
    </row>
    <row r="256" spans="1:2" x14ac:dyDescent="0.15">
      <c r="A256" s="47">
        <v>41234</v>
      </c>
      <c r="B256" s="48">
        <v>1.595</v>
      </c>
    </row>
    <row r="257" spans="1:2" x14ac:dyDescent="0.15">
      <c r="A257" s="47">
        <v>41235</v>
      </c>
      <c r="B257" s="48">
        <v>1.5934999999999999</v>
      </c>
    </row>
    <row r="258" spans="1:2" x14ac:dyDescent="0.15">
      <c r="A258" s="47">
        <v>41236</v>
      </c>
      <c r="B258" s="48">
        <v>1.603</v>
      </c>
    </row>
    <row r="259" spans="1:2" x14ac:dyDescent="0.15">
      <c r="A259" s="47">
        <v>41239</v>
      </c>
      <c r="B259" s="48">
        <v>1.6025</v>
      </c>
    </row>
    <row r="260" spans="1:2" x14ac:dyDescent="0.15">
      <c r="A260" s="47">
        <v>41240</v>
      </c>
      <c r="B260" s="48">
        <v>1.6020000000000001</v>
      </c>
    </row>
    <row r="261" spans="1:2" x14ac:dyDescent="0.15">
      <c r="A261" s="47">
        <v>41241</v>
      </c>
      <c r="B261" s="48">
        <v>1.6012</v>
      </c>
    </row>
    <row r="262" spans="1:2" x14ac:dyDescent="0.15">
      <c r="A262" s="47">
        <v>41242</v>
      </c>
      <c r="B262" s="48">
        <v>1.6039000000000001</v>
      </c>
    </row>
    <row r="263" spans="1:2" x14ac:dyDescent="0.15">
      <c r="A263" s="47">
        <v>41243</v>
      </c>
      <c r="B263" s="48">
        <v>1.601</v>
      </c>
    </row>
    <row r="264" spans="1:2" x14ac:dyDescent="0.15">
      <c r="A264" s="47">
        <v>41246</v>
      </c>
      <c r="B264" s="48">
        <v>1.6088</v>
      </c>
    </row>
    <row r="265" spans="1:2" x14ac:dyDescent="0.15">
      <c r="A265" s="47">
        <v>41247</v>
      </c>
      <c r="B265" s="48">
        <v>1.6101000000000001</v>
      </c>
    </row>
    <row r="266" spans="1:2" x14ac:dyDescent="0.15">
      <c r="A266" s="47">
        <v>41248</v>
      </c>
      <c r="B266" s="48">
        <v>1.6095999999999999</v>
      </c>
    </row>
    <row r="267" spans="1:2" x14ac:dyDescent="0.15">
      <c r="A267" s="47">
        <v>41249</v>
      </c>
      <c r="B267" s="48">
        <v>1.6048</v>
      </c>
    </row>
    <row r="268" spans="1:2" x14ac:dyDescent="0.15">
      <c r="A268" s="47">
        <v>41250</v>
      </c>
      <c r="B268" s="48">
        <v>1.6035999999999999</v>
      </c>
    </row>
    <row r="269" spans="1:2" x14ac:dyDescent="0.15">
      <c r="A269" s="47">
        <v>41253</v>
      </c>
      <c r="B269" s="48">
        <v>1.6073999999999999</v>
      </c>
    </row>
    <row r="270" spans="1:2" x14ac:dyDescent="0.15">
      <c r="A270" s="47">
        <v>41254</v>
      </c>
      <c r="B270" s="48">
        <v>1.6113999999999999</v>
      </c>
    </row>
    <row r="271" spans="1:2" x14ac:dyDescent="0.15">
      <c r="A271" s="47">
        <v>41255</v>
      </c>
      <c r="B271" s="48">
        <v>1.6147</v>
      </c>
    </row>
    <row r="272" spans="1:2" x14ac:dyDescent="0.15">
      <c r="A272" s="47">
        <v>41256</v>
      </c>
      <c r="B272" s="48">
        <v>1.6109</v>
      </c>
    </row>
    <row r="273" spans="1:2" x14ac:dyDescent="0.15">
      <c r="A273" s="47">
        <v>41257</v>
      </c>
      <c r="B273" s="48">
        <v>1.6165</v>
      </c>
    </row>
    <row r="274" spans="1:2" x14ac:dyDescent="0.15">
      <c r="A274" s="47">
        <v>41260</v>
      </c>
      <c r="B274" s="48">
        <v>1.6202000000000001</v>
      </c>
    </row>
    <row r="275" spans="1:2" x14ac:dyDescent="0.15">
      <c r="A275" s="47">
        <v>41261</v>
      </c>
      <c r="B275" s="48">
        <v>1.625</v>
      </c>
    </row>
    <row r="276" spans="1:2" x14ac:dyDescent="0.15">
      <c r="A276" s="47">
        <v>41262</v>
      </c>
      <c r="B276" s="48">
        <v>1.6244000000000001</v>
      </c>
    </row>
    <row r="277" spans="1:2" x14ac:dyDescent="0.15">
      <c r="A277" s="47">
        <v>41263</v>
      </c>
      <c r="B277" s="48">
        <v>1.6276999999999999</v>
      </c>
    </row>
    <row r="278" spans="1:2" x14ac:dyDescent="0.15">
      <c r="A278" s="47">
        <v>41264</v>
      </c>
      <c r="B278" s="48">
        <v>1.617</v>
      </c>
    </row>
    <row r="279" spans="1:2" x14ac:dyDescent="0.15">
      <c r="A279" s="47">
        <v>41267</v>
      </c>
      <c r="B279" s="48">
        <v>1.6121000000000001</v>
      </c>
    </row>
    <row r="280" spans="1:2" x14ac:dyDescent="0.15">
      <c r="A280" s="47">
        <v>41268</v>
      </c>
      <c r="B280" s="48">
        <v>1.6125</v>
      </c>
    </row>
    <row r="281" spans="1:2" x14ac:dyDescent="0.15">
      <c r="A281" s="47">
        <v>41269</v>
      </c>
      <c r="B281" s="48">
        <v>1.6133999999999999</v>
      </c>
    </row>
    <row r="282" spans="1:2" x14ac:dyDescent="0.15">
      <c r="A282" s="47">
        <v>41270</v>
      </c>
      <c r="B282" s="48">
        <v>1.6096999999999999</v>
      </c>
    </row>
    <row r="283" spans="1:2" x14ac:dyDescent="0.15">
      <c r="A283" s="47">
        <v>41271</v>
      </c>
      <c r="B283" s="48">
        <v>1.6168</v>
      </c>
    </row>
    <row r="284" spans="1:2" x14ac:dyDescent="0.15">
      <c r="A284" s="47">
        <v>41274</v>
      </c>
      <c r="B284" s="48">
        <v>1.6251</v>
      </c>
    </row>
    <row r="285" spans="1:2" x14ac:dyDescent="0.15">
      <c r="A285" s="47">
        <v>41275</v>
      </c>
      <c r="B285" s="48">
        <v>1.6243000000000001</v>
      </c>
    </row>
    <row r="286" spans="1:2" x14ac:dyDescent="0.15">
      <c r="A286" s="47">
        <v>41276</v>
      </c>
      <c r="B286" s="48">
        <v>1.6254999999999999</v>
      </c>
    </row>
    <row r="287" spans="1:2" x14ac:dyDescent="0.15">
      <c r="A287" s="47">
        <v>41277</v>
      </c>
      <c r="B287" s="48">
        <v>1.6106</v>
      </c>
    </row>
    <row r="288" spans="1:2" x14ac:dyDescent="0.15">
      <c r="A288" s="47">
        <v>41278</v>
      </c>
      <c r="B288" s="48">
        <v>1.6071</v>
      </c>
    </row>
    <row r="289" spans="1:2" x14ac:dyDescent="0.15">
      <c r="A289" s="47">
        <v>41281</v>
      </c>
      <c r="B289" s="48">
        <v>1.6112</v>
      </c>
    </row>
    <row r="290" spans="1:2" x14ac:dyDescent="0.15">
      <c r="A290" s="47">
        <v>41282</v>
      </c>
      <c r="B290" s="48">
        <v>1.6053999999999999</v>
      </c>
    </row>
    <row r="291" spans="1:2" x14ac:dyDescent="0.15">
      <c r="A291" s="47">
        <v>41283</v>
      </c>
      <c r="B291" s="48">
        <v>1.6021000000000001</v>
      </c>
    </row>
    <row r="292" spans="1:2" x14ac:dyDescent="0.15">
      <c r="A292" s="47">
        <v>41284</v>
      </c>
      <c r="B292" s="48">
        <v>1.6166</v>
      </c>
    </row>
    <row r="293" spans="1:2" x14ac:dyDescent="0.15">
      <c r="A293" s="47">
        <v>41285</v>
      </c>
      <c r="B293" s="48">
        <v>1.613</v>
      </c>
    </row>
    <row r="294" spans="1:2" x14ac:dyDescent="0.15">
      <c r="A294" s="47">
        <v>41288</v>
      </c>
      <c r="B294" s="48">
        <v>1.6075999999999999</v>
      </c>
    </row>
    <row r="295" spans="1:2" x14ac:dyDescent="0.15">
      <c r="A295" s="47">
        <v>41289</v>
      </c>
      <c r="B295" s="48">
        <v>1.6064000000000001</v>
      </c>
    </row>
    <row r="296" spans="1:2" x14ac:dyDescent="0.15">
      <c r="A296" s="47">
        <v>41290</v>
      </c>
      <c r="B296" s="48">
        <v>1.6006</v>
      </c>
    </row>
    <row r="297" spans="1:2" x14ac:dyDescent="0.15">
      <c r="A297" s="47">
        <v>41291</v>
      </c>
      <c r="B297" s="48">
        <v>1.5991</v>
      </c>
    </row>
    <row r="298" spans="1:2" x14ac:dyDescent="0.15">
      <c r="A298" s="47">
        <v>41292</v>
      </c>
      <c r="B298" s="48">
        <v>1.5866</v>
      </c>
    </row>
    <row r="299" spans="1:2" x14ac:dyDescent="0.15">
      <c r="A299" s="47">
        <v>41295</v>
      </c>
      <c r="B299" s="48">
        <v>1.5828</v>
      </c>
    </row>
    <row r="300" spans="1:2" x14ac:dyDescent="0.15">
      <c r="A300" s="47">
        <v>41296</v>
      </c>
      <c r="B300" s="48">
        <v>1.5837000000000001</v>
      </c>
    </row>
    <row r="301" spans="1:2" x14ac:dyDescent="0.15">
      <c r="A301" s="47">
        <v>41297</v>
      </c>
      <c r="B301" s="48">
        <v>1.5844</v>
      </c>
    </row>
    <row r="302" spans="1:2" x14ac:dyDescent="0.15">
      <c r="A302" s="47">
        <v>41298</v>
      </c>
      <c r="B302" s="48">
        <v>1.5788</v>
      </c>
    </row>
    <row r="303" spans="1:2" x14ac:dyDescent="0.15">
      <c r="A303" s="47">
        <v>41299</v>
      </c>
      <c r="B303" s="48">
        <v>1.5801000000000001</v>
      </c>
    </row>
    <row r="304" spans="1:2" x14ac:dyDescent="0.15">
      <c r="A304" s="47">
        <v>41302</v>
      </c>
      <c r="B304" s="48">
        <v>1.5693999999999999</v>
      </c>
    </row>
    <row r="305" spans="1:2" x14ac:dyDescent="0.15">
      <c r="A305" s="47">
        <v>41303</v>
      </c>
      <c r="B305" s="48">
        <v>1.5762</v>
      </c>
    </row>
    <row r="306" spans="1:2" x14ac:dyDescent="0.15">
      <c r="A306" s="47">
        <v>41304</v>
      </c>
      <c r="B306" s="48">
        <v>1.58</v>
      </c>
    </row>
    <row r="307" spans="1:2" x14ac:dyDescent="0.15">
      <c r="A307" s="47">
        <v>41305</v>
      </c>
      <c r="B307" s="48">
        <v>1.5853999999999999</v>
      </c>
    </row>
    <row r="308" spans="1:2" x14ac:dyDescent="0.15">
      <c r="A308" s="47">
        <v>41306</v>
      </c>
      <c r="B308" s="48">
        <v>1.569</v>
      </c>
    </row>
    <row r="309" spans="1:2" x14ac:dyDescent="0.15">
      <c r="A309" s="47">
        <v>41309</v>
      </c>
      <c r="B309" s="48">
        <v>1.5760000000000001</v>
      </c>
    </row>
    <row r="310" spans="1:2" x14ac:dyDescent="0.15">
      <c r="A310" s="47">
        <v>41310</v>
      </c>
      <c r="B310" s="48">
        <v>1.5656000000000001</v>
      </c>
    </row>
    <row r="311" spans="1:2" x14ac:dyDescent="0.15">
      <c r="A311" s="47">
        <v>41311</v>
      </c>
      <c r="B311" s="48">
        <v>1.5660000000000001</v>
      </c>
    </row>
    <row r="312" spans="1:2" x14ac:dyDescent="0.15">
      <c r="A312" s="47">
        <v>41312</v>
      </c>
      <c r="B312" s="48">
        <v>1.5714999999999999</v>
      </c>
    </row>
    <row r="313" spans="1:2" x14ac:dyDescent="0.15">
      <c r="A313" s="47">
        <v>41313</v>
      </c>
      <c r="B313" s="48">
        <v>1.5795999999999999</v>
      </c>
    </row>
    <row r="314" spans="1:2" x14ac:dyDescent="0.15">
      <c r="A314" s="47">
        <v>41316</v>
      </c>
      <c r="B314" s="48">
        <v>1.5657000000000001</v>
      </c>
    </row>
    <row r="315" spans="1:2" x14ac:dyDescent="0.15">
      <c r="A315" s="47">
        <v>41317</v>
      </c>
      <c r="B315" s="48">
        <v>1.5662</v>
      </c>
    </row>
    <row r="316" spans="1:2" x14ac:dyDescent="0.15">
      <c r="A316" s="47">
        <v>41318</v>
      </c>
      <c r="B316" s="48">
        <v>1.5541</v>
      </c>
    </row>
    <row r="317" spans="1:2" x14ac:dyDescent="0.15">
      <c r="A317" s="47">
        <v>41319</v>
      </c>
      <c r="B317" s="48">
        <v>1.5492999999999999</v>
      </c>
    </row>
    <row r="318" spans="1:2" x14ac:dyDescent="0.15">
      <c r="A318" s="47">
        <v>41320</v>
      </c>
      <c r="B318" s="48">
        <v>1.5516000000000001</v>
      </c>
    </row>
    <row r="319" spans="1:2" x14ac:dyDescent="0.15">
      <c r="A319" s="47">
        <v>41323</v>
      </c>
      <c r="B319" s="48">
        <v>1.5464</v>
      </c>
    </row>
    <row r="320" spans="1:2" x14ac:dyDescent="0.15">
      <c r="A320" s="47">
        <v>41324</v>
      </c>
      <c r="B320" s="48">
        <v>1.5422</v>
      </c>
    </row>
    <row r="321" spans="1:2" x14ac:dyDescent="0.15">
      <c r="A321" s="47">
        <v>41325</v>
      </c>
      <c r="B321" s="48">
        <v>1.5233000000000001</v>
      </c>
    </row>
    <row r="322" spans="1:2" x14ac:dyDescent="0.15">
      <c r="A322" s="47">
        <v>41326</v>
      </c>
      <c r="B322" s="48">
        <v>1.5253000000000001</v>
      </c>
    </row>
    <row r="323" spans="1:2" x14ac:dyDescent="0.15">
      <c r="A323" s="47">
        <v>41327</v>
      </c>
      <c r="B323" s="48">
        <v>1.516</v>
      </c>
    </row>
    <row r="324" spans="1:2" x14ac:dyDescent="0.15">
      <c r="A324" s="47">
        <v>41330</v>
      </c>
      <c r="B324" s="48">
        <v>1.516</v>
      </c>
    </row>
    <row r="325" spans="1:2" x14ac:dyDescent="0.15">
      <c r="A325" s="47">
        <v>41331</v>
      </c>
      <c r="B325" s="48">
        <v>1.5123</v>
      </c>
    </row>
    <row r="326" spans="1:2" x14ac:dyDescent="0.15">
      <c r="A326" s="47">
        <v>41332</v>
      </c>
      <c r="B326" s="48">
        <v>1.5157</v>
      </c>
    </row>
    <row r="327" spans="1:2" x14ac:dyDescent="0.15">
      <c r="A327" s="47">
        <v>41333</v>
      </c>
      <c r="B327" s="48">
        <v>1.516</v>
      </c>
    </row>
    <row r="328" spans="1:2" x14ac:dyDescent="0.15">
      <c r="A328" s="47">
        <v>41334</v>
      </c>
      <c r="B328" s="48">
        <v>1.5036</v>
      </c>
    </row>
    <row r="329" spans="1:2" x14ac:dyDescent="0.15">
      <c r="A329" s="47">
        <v>41337</v>
      </c>
      <c r="B329" s="48">
        <v>1.5114000000000001</v>
      </c>
    </row>
    <row r="330" spans="1:2" x14ac:dyDescent="0.15">
      <c r="A330" s="47">
        <v>41338</v>
      </c>
      <c r="B330" s="48">
        <v>1.5125</v>
      </c>
    </row>
    <row r="331" spans="1:2" x14ac:dyDescent="0.15">
      <c r="A331" s="47">
        <v>41339</v>
      </c>
      <c r="B331" s="48">
        <v>1.5016</v>
      </c>
    </row>
    <row r="332" spans="1:2" x14ac:dyDescent="0.15">
      <c r="A332" s="47">
        <v>41340</v>
      </c>
      <c r="B332" s="48">
        <v>1.5012000000000001</v>
      </c>
    </row>
    <row r="333" spans="1:2" x14ac:dyDescent="0.15">
      <c r="A333" s="47">
        <v>41341</v>
      </c>
      <c r="B333" s="48">
        <v>1.4915</v>
      </c>
    </row>
    <row r="334" spans="1:2" x14ac:dyDescent="0.15">
      <c r="A334" s="47">
        <v>41344</v>
      </c>
      <c r="B334" s="48">
        <v>1.4912000000000001</v>
      </c>
    </row>
    <row r="335" spans="1:2" x14ac:dyDescent="0.15">
      <c r="A335" s="47">
        <v>41345</v>
      </c>
      <c r="B335" s="48">
        <v>1.4902</v>
      </c>
    </row>
    <row r="336" spans="1:2" x14ac:dyDescent="0.15">
      <c r="A336" s="47">
        <v>41346</v>
      </c>
      <c r="B336" s="48">
        <v>1.492</v>
      </c>
    </row>
    <row r="337" spans="1:2" x14ac:dyDescent="0.15">
      <c r="A337" s="47">
        <v>41347</v>
      </c>
      <c r="B337" s="48">
        <v>1.508</v>
      </c>
    </row>
    <row r="338" spans="1:2" x14ac:dyDescent="0.15">
      <c r="A338" s="47">
        <v>41348</v>
      </c>
      <c r="B338" s="48">
        <v>1.5113000000000001</v>
      </c>
    </row>
    <row r="339" spans="1:2" x14ac:dyDescent="0.15">
      <c r="A339" s="47">
        <v>41351</v>
      </c>
      <c r="B339" s="48">
        <v>1.5104</v>
      </c>
    </row>
    <row r="340" spans="1:2" x14ac:dyDescent="0.15">
      <c r="A340" s="47">
        <v>41352</v>
      </c>
      <c r="B340" s="48">
        <v>1.5097</v>
      </c>
    </row>
    <row r="341" spans="1:2" x14ac:dyDescent="0.15">
      <c r="A341" s="47">
        <v>41353</v>
      </c>
      <c r="B341" s="48">
        <v>1.5095000000000001</v>
      </c>
    </row>
    <row r="342" spans="1:2" x14ac:dyDescent="0.15">
      <c r="A342" s="47">
        <v>41354</v>
      </c>
      <c r="B342" s="48">
        <v>1.5170999999999999</v>
      </c>
    </row>
    <row r="343" spans="1:2" x14ac:dyDescent="0.15">
      <c r="A343" s="47">
        <v>41355</v>
      </c>
      <c r="B343" s="48">
        <v>1.5228999999999999</v>
      </c>
    </row>
    <row r="344" spans="1:2" x14ac:dyDescent="0.15">
      <c r="A344" s="47">
        <v>41358</v>
      </c>
      <c r="B344" s="48">
        <v>1.5173000000000001</v>
      </c>
    </row>
    <row r="345" spans="1:2" x14ac:dyDescent="0.15">
      <c r="A345" s="47">
        <v>41359</v>
      </c>
      <c r="B345" s="48">
        <v>1.5159</v>
      </c>
    </row>
    <row r="346" spans="1:2" x14ac:dyDescent="0.15">
      <c r="A346" s="47">
        <v>41360</v>
      </c>
      <c r="B346" s="48">
        <v>1.5129999999999999</v>
      </c>
    </row>
    <row r="347" spans="1:2" x14ac:dyDescent="0.15">
      <c r="A347" s="47">
        <v>41361</v>
      </c>
      <c r="B347" s="48">
        <v>1.5192000000000001</v>
      </c>
    </row>
    <row r="348" spans="1:2" x14ac:dyDescent="0.15">
      <c r="A348" s="47">
        <v>41362</v>
      </c>
      <c r="B348" s="48">
        <v>1.5201</v>
      </c>
    </row>
    <row r="349" spans="1:2" x14ac:dyDescent="0.15">
      <c r="A349" s="47">
        <v>41365</v>
      </c>
      <c r="B349" s="48">
        <v>1.5226999999999999</v>
      </c>
    </row>
    <row r="350" spans="1:2" x14ac:dyDescent="0.15">
      <c r="A350" s="47">
        <v>41366</v>
      </c>
      <c r="B350" s="48">
        <v>1.5102</v>
      </c>
    </row>
    <row r="351" spans="1:2" x14ac:dyDescent="0.15">
      <c r="A351" s="47">
        <v>41367</v>
      </c>
      <c r="B351" s="48">
        <v>1.5126999999999999</v>
      </c>
    </row>
    <row r="352" spans="1:2" x14ac:dyDescent="0.15">
      <c r="A352" s="47">
        <v>41368</v>
      </c>
      <c r="B352" s="48">
        <v>1.5233000000000001</v>
      </c>
    </row>
    <row r="353" spans="1:2" x14ac:dyDescent="0.15">
      <c r="A353" s="47">
        <v>41369</v>
      </c>
      <c r="B353" s="48">
        <v>1.5333000000000001</v>
      </c>
    </row>
    <row r="354" spans="1:2" x14ac:dyDescent="0.15">
      <c r="A354" s="47">
        <v>41372</v>
      </c>
      <c r="B354" s="48">
        <v>1.5251999999999999</v>
      </c>
    </row>
    <row r="355" spans="1:2" x14ac:dyDescent="0.15">
      <c r="A355" s="47">
        <v>41373</v>
      </c>
      <c r="B355" s="48">
        <v>1.5321</v>
      </c>
    </row>
    <row r="356" spans="1:2" x14ac:dyDescent="0.15">
      <c r="A356" s="47">
        <v>41374</v>
      </c>
      <c r="B356" s="48">
        <v>1.5328999999999999</v>
      </c>
    </row>
    <row r="357" spans="1:2" x14ac:dyDescent="0.15">
      <c r="A357" s="47">
        <v>41375</v>
      </c>
      <c r="B357" s="48">
        <v>1.5382</v>
      </c>
    </row>
    <row r="358" spans="1:2" x14ac:dyDescent="0.15">
      <c r="A358" s="47">
        <v>41376</v>
      </c>
      <c r="B358" s="48">
        <v>1.5341</v>
      </c>
    </row>
    <row r="359" spans="1:2" x14ac:dyDescent="0.15">
      <c r="A359" s="47">
        <v>41379</v>
      </c>
      <c r="B359" s="48">
        <v>1.5283</v>
      </c>
    </row>
    <row r="360" spans="1:2" x14ac:dyDescent="0.15">
      <c r="A360" s="47">
        <v>41380</v>
      </c>
      <c r="B360" s="48">
        <v>1.536</v>
      </c>
    </row>
    <row r="361" spans="1:2" x14ac:dyDescent="0.15">
      <c r="A361" s="47">
        <v>41381</v>
      </c>
      <c r="B361" s="48">
        <v>1.5236000000000001</v>
      </c>
    </row>
    <row r="362" spans="1:2" x14ac:dyDescent="0.15">
      <c r="A362" s="47">
        <v>41382</v>
      </c>
      <c r="B362" s="48">
        <v>1.5279</v>
      </c>
    </row>
    <row r="363" spans="1:2" x14ac:dyDescent="0.15">
      <c r="A363" s="47">
        <v>41383</v>
      </c>
      <c r="B363" s="48">
        <v>1.5229999999999999</v>
      </c>
    </row>
    <row r="364" spans="1:2" x14ac:dyDescent="0.15">
      <c r="A364" s="47">
        <v>41386</v>
      </c>
      <c r="B364" s="48">
        <v>1.5291999999999999</v>
      </c>
    </row>
    <row r="365" spans="1:2" x14ac:dyDescent="0.15">
      <c r="A365" s="47">
        <v>41387</v>
      </c>
      <c r="B365" s="48">
        <v>1.5237000000000001</v>
      </c>
    </row>
    <row r="366" spans="1:2" x14ac:dyDescent="0.15">
      <c r="A366" s="47">
        <v>41388</v>
      </c>
      <c r="B366" s="48">
        <v>1.5266999999999999</v>
      </c>
    </row>
    <row r="367" spans="1:2" x14ac:dyDescent="0.15">
      <c r="A367" s="47">
        <v>41389</v>
      </c>
      <c r="B367" s="48">
        <v>1.5431999999999999</v>
      </c>
    </row>
    <row r="368" spans="1:2" x14ac:dyDescent="0.15">
      <c r="A368" s="47">
        <v>41390</v>
      </c>
      <c r="B368" s="48">
        <v>1.5478000000000001</v>
      </c>
    </row>
    <row r="369" spans="1:2" x14ac:dyDescent="0.15">
      <c r="A369" s="47">
        <v>41393</v>
      </c>
      <c r="B369" s="48">
        <v>1.5499000000000001</v>
      </c>
    </row>
    <row r="370" spans="1:2" x14ac:dyDescent="0.15">
      <c r="A370" s="47">
        <v>41394</v>
      </c>
      <c r="B370" s="48">
        <v>1.5530999999999999</v>
      </c>
    </row>
    <row r="371" spans="1:2" x14ac:dyDescent="0.15">
      <c r="A371" s="47">
        <v>41395</v>
      </c>
      <c r="B371" s="48">
        <v>1.5551999999999999</v>
      </c>
    </row>
    <row r="372" spans="1:2" x14ac:dyDescent="0.15">
      <c r="A372" s="47">
        <v>41396</v>
      </c>
      <c r="B372" s="48">
        <v>1.5532999999999999</v>
      </c>
    </row>
    <row r="373" spans="1:2" x14ac:dyDescent="0.15">
      <c r="A373" s="47">
        <v>41397</v>
      </c>
      <c r="B373" s="48">
        <v>1.5570999999999999</v>
      </c>
    </row>
    <row r="374" spans="1:2" x14ac:dyDescent="0.15">
      <c r="A374" s="47">
        <v>41400</v>
      </c>
      <c r="B374" s="48">
        <v>1.5541</v>
      </c>
    </row>
    <row r="375" spans="1:2" x14ac:dyDescent="0.15">
      <c r="A375" s="47">
        <v>41401</v>
      </c>
      <c r="B375" s="48">
        <v>1.5484</v>
      </c>
    </row>
    <row r="376" spans="1:2" x14ac:dyDescent="0.15">
      <c r="A376" s="47">
        <v>41402</v>
      </c>
      <c r="B376" s="48">
        <v>1.5530999999999999</v>
      </c>
    </row>
    <row r="377" spans="1:2" x14ac:dyDescent="0.15">
      <c r="A377" s="47">
        <v>41403</v>
      </c>
      <c r="B377" s="48">
        <v>1.5448</v>
      </c>
    </row>
    <row r="378" spans="1:2" x14ac:dyDescent="0.15">
      <c r="A378" s="47">
        <v>41404</v>
      </c>
      <c r="B378" s="48">
        <v>1.5363</v>
      </c>
    </row>
    <row r="379" spans="1:2" x14ac:dyDescent="0.15">
      <c r="A379" s="47">
        <v>41407</v>
      </c>
      <c r="B379" s="48">
        <v>1.5297000000000001</v>
      </c>
    </row>
    <row r="380" spans="1:2" x14ac:dyDescent="0.15">
      <c r="A380" s="47">
        <v>41408</v>
      </c>
      <c r="B380" s="48">
        <v>1.5209999999999999</v>
      </c>
    </row>
    <row r="381" spans="1:2" x14ac:dyDescent="0.15">
      <c r="A381" s="47">
        <v>41409</v>
      </c>
      <c r="B381" s="48">
        <v>1.5233000000000001</v>
      </c>
    </row>
    <row r="382" spans="1:2" x14ac:dyDescent="0.15">
      <c r="A382" s="47">
        <v>41410</v>
      </c>
      <c r="B382" s="48">
        <v>1.5267999999999999</v>
      </c>
    </row>
    <row r="383" spans="1:2" x14ac:dyDescent="0.15">
      <c r="A383" s="47">
        <v>41411</v>
      </c>
      <c r="B383" s="48">
        <v>1.5168999999999999</v>
      </c>
    </row>
    <row r="384" spans="1:2" x14ac:dyDescent="0.15">
      <c r="A384" s="47">
        <v>41414</v>
      </c>
      <c r="B384" s="48">
        <v>1.5254000000000001</v>
      </c>
    </row>
    <row r="385" spans="1:2" x14ac:dyDescent="0.15">
      <c r="A385" s="47">
        <v>41415</v>
      </c>
      <c r="B385" s="48">
        <v>1.5154000000000001</v>
      </c>
    </row>
    <row r="386" spans="1:2" x14ac:dyDescent="0.15">
      <c r="A386" s="47">
        <v>41416</v>
      </c>
      <c r="B386" s="48">
        <v>1.5046999999999999</v>
      </c>
    </row>
    <row r="387" spans="1:2" x14ac:dyDescent="0.15">
      <c r="A387" s="47">
        <v>41417</v>
      </c>
      <c r="B387" s="48">
        <v>1.5106999999999999</v>
      </c>
    </row>
    <row r="388" spans="1:2" x14ac:dyDescent="0.15">
      <c r="A388" s="47">
        <v>41418</v>
      </c>
      <c r="B388" s="48">
        <v>1.5125</v>
      </c>
    </row>
    <row r="389" spans="1:2" x14ac:dyDescent="0.15">
      <c r="A389" s="47">
        <v>41421</v>
      </c>
      <c r="B389" s="48">
        <v>1.5101</v>
      </c>
    </row>
    <row r="390" spans="1:2" x14ac:dyDescent="0.15">
      <c r="A390" s="47">
        <v>41422</v>
      </c>
      <c r="B390" s="48">
        <v>1.504</v>
      </c>
    </row>
    <row r="391" spans="1:2" x14ac:dyDescent="0.15">
      <c r="A391" s="47">
        <v>41423</v>
      </c>
      <c r="B391" s="48">
        <v>1.5129999999999999</v>
      </c>
    </row>
    <row r="392" spans="1:2" x14ac:dyDescent="0.15">
      <c r="A392" s="47">
        <v>41424</v>
      </c>
      <c r="B392" s="48">
        <v>1.5230999999999999</v>
      </c>
    </row>
    <row r="393" spans="1:2" x14ac:dyDescent="0.15">
      <c r="A393" s="47">
        <v>41425</v>
      </c>
      <c r="B393" s="48">
        <v>1.5198</v>
      </c>
    </row>
    <row r="394" spans="1:2" x14ac:dyDescent="0.15">
      <c r="A394" s="47">
        <v>41428</v>
      </c>
      <c r="B394" s="48">
        <v>1.532</v>
      </c>
    </row>
    <row r="395" spans="1:2" x14ac:dyDescent="0.15">
      <c r="A395" s="47">
        <v>41429</v>
      </c>
      <c r="B395" s="48">
        <v>1.5311999999999999</v>
      </c>
    </row>
    <row r="396" spans="1:2" x14ac:dyDescent="0.15">
      <c r="A396" s="47">
        <v>41430</v>
      </c>
      <c r="B396" s="48">
        <v>1.5403</v>
      </c>
    </row>
    <row r="397" spans="1:2" x14ac:dyDescent="0.15">
      <c r="A397" s="47">
        <v>41431</v>
      </c>
      <c r="B397" s="48">
        <v>1.5601</v>
      </c>
    </row>
    <row r="398" spans="1:2" x14ac:dyDescent="0.15">
      <c r="A398" s="47">
        <v>41432</v>
      </c>
      <c r="B398" s="48">
        <v>1.5557000000000001</v>
      </c>
    </row>
    <row r="399" spans="1:2" x14ac:dyDescent="0.15">
      <c r="A399" s="47">
        <v>41435</v>
      </c>
      <c r="B399" s="48">
        <v>1.5570999999999999</v>
      </c>
    </row>
    <row r="400" spans="1:2" x14ac:dyDescent="0.15">
      <c r="A400" s="47">
        <v>41436</v>
      </c>
      <c r="B400" s="48">
        <v>1.5646</v>
      </c>
    </row>
    <row r="401" spans="1:2" x14ac:dyDescent="0.15">
      <c r="A401" s="47">
        <v>41437</v>
      </c>
      <c r="B401" s="48">
        <v>1.5677000000000001</v>
      </c>
    </row>
    <row r="402" spans="1:2" x14ac:dyDescent="0.15">
      <c r="A402" s="47">
        <v>41438</v>
      </c>
      <c r="B402" s="48">
        <v>1.5718000000000001</v>
      </c>
    </row>
    <row r="403" spans="1:2" x14ac:dyDescent="0.15">
      <c r="A403" s="47">
        <v>41439</v>
      </c>
      <c r="B403" s="48">
        <v>1.5703</v>
      </c>
    </row>
    <row r="404" spans="1:2" x14ac:dyDescent="0.15">
      <c r="A404" s="47">
        <v>41442</v>
      </c>
      <c r="B404" s="48">
        <v>1.5718000000000001</v>
      </c>
    </row>
    <row r="405" spans="1:2" x14ac:dyDescent="0.15">
      <c r="A405" s="47">
        <v>41443</v>
      </c>
      <c r="B405" s="48">
        <v>1.5642</v>
      </c>
    </row>
    <row r="406" spans="1:2" x14ac:dyDescent="0.15">
      <c r="A406" s="47">
        <v>41444</v>
      </c>
      <c r="B406" s="48">
        <v>1.5484</v>
      </c>
    </row>
    <row r="407" spans="1:2" x14ac:dyDescent="0.15">
      <c r="A407" s="47">
        <v>41445</v>
      </c>
      <c r="B407" s="48">
        <v>1.5508</v>
      </c>
    </row>
    <row r="408" spans="1:2" x14ac:dyDescent="0.15">
      <c r="A408" s="47">
        <v>41446</v>
      </c>
      <c r="B408" s="48">
        <v>1.5416000000000001</v>
      </c>
    </row>
    <row r="409" spans="1:2" x14ac:dyDescent="0.15">
      <c r="A409" s="47">
        <v>41449</v>
      </c>
      <c r="B409" s="48">
        <v>1.5430999999999999</v>
      </c>
    </row>
    <row r="410" spans="1:2" x14ac:dyDescent="0.15">
      <c r="A410" s="47">
        <v>41450</v>
      </c>
      <c r="B410" s="48">
        <v>1.5422</v>
      </c>
    </row>
    <row r="411" spans="1:2" x14ac:dyDescent="0.15">
      <c r="A411" s="47">
        <v>41451</v>
      </c>
      <c r="B411" s="48">
        <v>1.5313000000000001</v>
      </c>
    </row>
    <row r="412" spans="1:2" x14ac:dyDescent="0.15">
      <c r="A412" s="47">
        <v>41452</v>
      </c>
      <c r="B412" s="48">
        <v>1.5257000000000001</v>
      </c>
    </row>
    <row r="413" spans="1:2" x14ac:dyDescent="0.15">
      <c r="A413" s="47">
        <v>41453</v>
      </c>
      <c r="B413" s="48">
        <v>1.5209999999999999</v>
      </c>
    </row>
    <row r="414" spans="1:2" x14ac:dyDescent="0.15">
      <c r="A414" s="47">
        <v>41456</v>
      </c>
      <c r="B414" s="48">
        <v>1.5216000000000001</v>
      </c>
    </row>
    <row r="415" spans="1:2" x14ac:dyDescent="0.15">
      <c r="A415" s="47">
        <v>41457</v>
      </c>
      <c r="B415" s="48">
        <v>1.5153000000000001</v>
      </c>
    </row>
    <row r="416" spans="1:2" x14ac:dyDescent="0.15">
      <c r="A416" s="47">
        <v>41458</v>
      </c>
      <c r="B416" s="48">
        <v>1.5278</v>
      </c>
    </row>
    <row r="417" spans="1:2" x14ac:dyDescent="0.15">
      <c r="A417" s="47">
        <v>41459</v>
      </c>
      <c r="B417" s="48">
        <v>1.5069999999999999</v>
      </c>
    </row>
    <row r="418" spans="1:2" x14ac:dyDescent="0.15">
      <c r="A418" s="47">
        <v>41460</v>
      </c>
      <c r="B418" s="48">
        <v>1.4886999999999999</v>
      </c>
    </row>
    <row r="419" spans="1:2" x14ac:dyDescent="0.15">
      <c r="A419" s="47">
        <v>41463</v>
      </c>
      <c r="B419" s="48">
        <v>1.4950000000000001</v>
      </c>
    </row>
    <row r="420" spans="1:2" x14ac:dyDescent="0.15">
      <c r="A420" s="47">
        <v>41464</v>
      </c>
      <c r="B420" s="48">
        <v>1.4864999999999999</v>
      </c>
    </row>
    <row r="421" spans="1:2" x14ac:dyDescent="0.15">
      <c r="A421" s="47">
        <v>41465</v>
      </c>
      <c r="B421" s="48">
        <v>1.5009999999999999</v>
      </c>
    </row>
    <row r="422" spans="1:2" x14ac:dyDescent="0.15">
      <c r="A422" s="47">
        <v>41466</v>
      </c>
      <c r="B422" s="48">
        <v>1.5183</v>
      </c>
    </row>
    <row r="423" spans="1:2" x14ac:dyDescent="0.15">
      <c r="A423" s="47">
        <v>41467</v>
      </c>
      <c r="B423" s="48">
        <v>1.5105</v>
      </c>
    </row>
    <row r="424" spans="1:2" x14ac:dyDescent="0.15">
      <c r="A424" s="47">
        <v>41470</v>
      </c>
      <c r="B424" s="48">
        <v>1.5098</v>
      </c>
    </row>
    <row r="425" spans="1:2" x14ac:dyDescent="0.15">
      <c r="A425" s="47">
        <v>41471</v>
      </c>
      <c r="B425" s="48">
        <v>1.5159</v>
      </c>
    </row>
    <row r="426" spans="1:2" x14ac:dyDescent="0.15">
      <c r="A426" s="47">
        <v>41472</v>
      </c>
      <c r="B426" s="48">
        <v>1.5212000000000001</v>
      </c>
    </row>
    <row r="427" spans="1:2" x14ac:dyDescent="0.15">
      <c r="A427" s="47">
        <v>41473</v>
      </c>
      <c r="B427" s="48">
        <v>1.5227999999999999</v>
      </c>
    </row>
    <row r="428" spans="1:2" x14ac:dyDescent="0.15">
      <c r="A428" s="47">
        <v>41474</v>
      </c>
      <c r="B428" s="48">
        <v>1.5266</v>
      </c>
    </row>
    <row r="429" spans="1:2" x14ac:dyDescent="0.15">
      <c r="A429" s="47">
        <v>41477</v>
      </c>
      <c r="B429" s="48">
        <v>1.5359</v>
      </c>
    </row>
    <row r="430" spans="1:2" x14ac:dyDescent="0.15">
      <c r="A430" s="47">
        <v>41478</v>
      </c>
      <c r="B430" s="48">
        <v>1.5367</v>
      </c>
    </row>
    <row r="431" spans="1:2" x14ac:dyDescent="0.15">
      <c r="A431" s="47">
        <v>41479</v>
      </c>
      <c r="B431" s="48">
        <v>1.5313000000000001</v>
      </c>
    </row>
    <row r="432" spans="1:2" x14ac:dyDescent="0.15">
      <c r="A432" s="47">
        <v>41480</v>
      </c>
      <c r="B432" s="48">
        <v>1.5389999999999999</v>
      </c>
    </row>
    <row r="433" spans="1:2" x14ac:dyDescent="0.15">
      <c r="A433" s="47">
        <v>41481</v>
      </c>
      <c r="B433" s="48">
        <v>1.5379</v>
      </c>
    </row>
    <row r="434" spans="1:2" x14ac:dyDescent="0.15">
      <c r="A434" s="47">
        <v>41484</v>
      </c>
      <c r="B434" s="48">
        <v>1.5336000000000001</v>
      </c>
    </row>
    <row r="435" spans="1:2" x14ac:dyDescent="0.15">
      <c r="A435" s="47">
        <v>41485</v>
      </c>
      <c r="B435" s="48">
        <v>1.5236000000000001</v>
      </c>
    </row>
    <row r="436" spans="1:2" x14ac:dyDescent="0.15">
      <c r="A436" s="47">
        <v>41486</v>
      </c>
      <c r="B436" s="48">
        <v>1.5206</v>
      </c>
    </row>
    <row r="437" spans="1:2" x14ac:dyDescent="0.15">
      <c r="A437" s="47">
        <v>41487</v>
      </c>
      <c r="B437" s="48">
        <v>1.5118</v>
      </c>
    </row>
    <row r="438" spans="1:2" x14ac:dyDescent="0.15">
      <c r="A438" s="47">
        <v>41488</v>
      </c>
      <c r="B438" s="48">
        <v>1.5286999999999999</v>
      </c>
    </row>
    <row r="439" spans="1:2" x14ac:dyDescent="0.15">
      <c r="A439" s="47">
        <v>41491</v>
      </c>
      <c r="B439" s="48">
        <v>1.5357000000000001</v>
      </c>
    </row>
    <row r="440" spans="1:2" x14ac:dyDescent="0.15">
      <c r="A440" s="47">
        <v>41492</v>
      </c>
      <c r="B440" s="48">
        <v>1.5347</v>
      </c>
    </row>
    <row r="441" spans="1:2" x14ac:dyDescent="0.15">
      <c r="A441" s="47">
        <v>41493</v>
      </c>
      <c r="B441" s="48">
        <v>1.5487</v>
      </c>
    </row>
    <row r="442" spans="1:2" x14ac:dyDescent="0.15">
      <c r="A442" s="47">
        <v>41494</v>
      </c>
      <c r="B442" s="48">
        <v>1.5537000000000001</v>
      </c>
    </row>
    <row r="443" spans="1:2" x14ac:dyDescent="0.15">
      <c r="A443" s="47">
        <v>41495</v>
      </c>
      <c r="B443" s="48">
        <v>1.5498000000000001</v>
      </c>
    </row>
    <row r="444" spans="1:2" x14ac:dyDescent="0.15">
      <c r="A444" s="47">
        <v>41498</v>
      </c>
      <c r="B444" s="48">
        <v>1.5462</v>
      </c>
    </row>
    <row r="445" spans="1:2" x14ac:dyDescent="0.15">
      <c r="A445" s="47">
        <v>41499</v>
      </c>
      <c r="B445" s="48">
        <v>1.5447</v>
      </c>
    </row>
    <row r="446" spans="1:2" x14ac:dyDescent="0.15">
      <c r="A446" s="47">
        <v>41500</v>
      </c>
      <c r="B446" s="48">
        <v>1.5498000000000001</v>
      </c>
    </row>
    <row r="447" spans="1:2" x14ac:dyDescent="0.15">
      <c r="A447" s="47">
        <v>41501</v>
      </c>
      <c r="B447" s="48">
        <v>1.5640000000000001</v>
      </c>
    </row>
    <row r="448" spans="1:2" x14ac:dyDescent="0.15">
      <c r="A448" s="47">
        <v>41502</v>
      </c>
      <c r="B448" s="48">
        <v>1.5627</v>
      </c>
    </row>
    <row r="449" spans="1:2" x14ac:dyDescent="0.15">
      <c r="A449" s="47">
        <v>41505</v>
      </c>
      <c r="B449" s="48">
        <v>1.5647</v>
      </c>
    </row>
    <row r="450" spans="1:2" x14ac:dyDescent="0.15">
      <c r="A450" s="47">
        <v>41506</v>
      </c>
      <c r="B450" s="48">
        <v>1.5665</v>
      </c>
    </row>
    <row r="451" spans="1:2" x14ac:dyDescent="0.15">
      <c r="A451" s="47">
        <v>41507</v>
      </c>
      <c r="B451" s="48">
        <v>1.5658000000000001</v>
      </c>
    </row>
    <row r="452" spans="1:2" x14ac:dyDescent="0.15">
      <c r="A452" s="47">
        <v>41508</v>
      </c>
      <c r="B452" s="48">
        <v>1.5586</v>
      </c>
    </row>
    <row r="453" spans="1:2" x14ac:dyDescent="0.15">
      <c r="A453" s="47">
        <v>41509</v>
      </c>
      <c r="B453" s="48">
        <v>1.5567</v>
      </c>
    </row>
    <row r="454" spans="1:2" x14ac:dyDescent="0.15">
      <c r="A454" s="47">
        <v>41512</v>
      </c>
      <c r="B454" s="48">
        <v>1.5573999999999999</v>
      </c>
    </row>
    <row r="455" spans="1:2" x14ac:dyDescent="0.15">
      <c r="A455" s="47">
        <v>41513</v>
      </c>
      <c r="B455" s="48">
        <v>1.5545</v>
      </c>
    </row>
    <row r="456" spans="1:2" x14ac:dyDescent="0.15">
      <c r="A456" s="47">
        <v>41514</v>
      </c>
      <c r="B456" s="48">
        <v>1.5524</v>
      </c>
    </row>
    <row r="457" spans="1:2" x14ac:dyDescent="0.15">
      <c r="A457" s="47">
        <v>41515</v>
      </c>
      <c r="B457" s="48">
        <v>1.5503</v>
      </c>
    </row>
    <row r="458" spans="1:2" x14ac:dyDescent="0.15">
      <c r="A458" s="47">
        <v>41516</v>
      </c>
      <c r="B458" s="48">
        <v>1.5508</v>
      </c>
    </row>
    <row r="459" spans="1:2" x14ac:dyDescent="0.15">
      <c r="A459" s="47">
        <v>41519</v>
      </c>
      <c r="B459" s="48">
        <v>1.5544</v>
      </c>
    </row>
    <row r="460" spans="1:2" x14ac:dyDescent="0.15">
      <c r="A460" s="47">
        <v>41520</v>
      </c>
      <c r="B460" s="48">
        <v>1.5557000000000001</v>
      </c>
    </row>
    <row r="461" spans="1:2" x14ac:dyDescent="0.15">
      <c r="A461" s="47">
        <v>41521</v>
      </c>
      <c r="B461" s="48">
        <v>1.5624</v>
      </c>
    </row>
    <row r="462" spans="1:2" x14ac:dyDescent="0.15">
      <c r="A462" s="47">
        <v>41522</v>
      </c>
      <c r="B462" s="48">
        <v>1.5589</v>
      </c>
    </row>
    <row r="463" spans="1:2" x14ac:dyDescent="0.15">
      <c r="A463" s="47">
        <v>41523</v>
      </c>
      <c r="B463" s="48">
        <v>1.5629</v>
      </c>
    </row>
    <row r="464" spans="1:2" x14ac:dyDescent="0.15">
      <c r="A464" s="47">
        <v>41526</v>
      </c>
      <c r="B464" s="48">
        <v>1.5691999999999999</v>
      </c>
    </row>
    <row r="465" spans="1:2" x14ac:dyDescent="0.15">
      <c r="A465" s="47">
        <v>41527</v>
      </c>
      <c r="B465" s="48">
        <v>1.5732999999999999</v>
      </c>
    </row>
    <row r="466" spans="1:2" x14ac:dyDescent="0.15">
      <c r="A466" s="47">
        <v>41528</v>
      </c>
      <c r="B466" s="48">
        <v>1.5814999999999999</v>
      </c>
    </row>
    <row r="467" spans="1:2" x14ac:dyDescent="0.15">
      <c r="A467" s="47">
        <v>41529</v>
      </c>
      <c r="B467" s="48">
        <v>1.5804</v>
      </c>
    </row>
    <row r="468" spans="1:2" x14ac:dyDescent="0.15">
      <c r="A468" s="47">
        <v>41530</v>
      </c>
      <c r="B468" s="48">
        <v>1.5872999999999999</v>
      </c>
    </row>
    <row r="469" spans="1:2" x14ac:dyDescent="0.15">
      <c r="A469" s="47">
        <v>41533</v>
      </c>
      <c r="B469" s="48">
        <v>1.5893999999999999</v>
      </c>
    </row>
    <row r="470" spans="1:2" x14ac:dyDescent="0.15">
      <c r="A470" s="47">
        <v>41534</v>
      </c>
      <c r="B470" s="48">
        <v>1.5901000000000001</v>
      </c>
    </row>
    <row r="471" spans="1:2" x14ac:dyDescent="0.15">
      <c r="A471" s="47">
        <v>41535</v>
      </c>
      <c r="B471" s="48">
        <v>1.6144000000000001</v>
      </c>
    </row>
    <row r="472" spans="1:2" x14ac:dyDescent="0.15">
      <c r="A472" s="47">
        <v>41536</v>
      </c>
      <c r="B472" s="48">
        <v>1.6029</v>
      </c>
    </row>
    <row r="473" spans="1:2" x14ac:dyDescent="0.15">
      <c r="A473" s="47">
        <v>41537</v>
      </c>
      <c r="B473" s="48">
        <v>1.6004</v>
      </c>
    </row>
    <row r="474" spans="1:2" x14ac:dyDescent="0.15">
      <c r="A474" s="47">
        <v>41540</v>
      </c>
      <c r="B474" s="48">
        <v>1.6041000000000001</v>
      </c>
    </row>
    <row r="475" spans="1:2" x14ac:dyDescent="0.15">
      <c r="A475" s="47">
        <v>41541</v>
      </c>
      <c r="B475" s="48">
        <v>1.6001000000000001</v>
      </c>
    </row>
    <row r="476" spans="1:2" x14ac:dyDescent="0.15">
      <c r="A476" s="47">
        <v>41542</v>
      </c>
      <c r="B476" s="48">
        <v>1.6077999999999999</v>
      </c>
    </row>
    <row r="477" spans="1:2" x14ac:dyDescent="0.15">
      <c r="A477" s="47">
        <v>41543</v>
      </c>
      <c r="B477" s="48">
        <v>1.6037999999999999</v>
      </c>
    </row>
    <row r="478" spans="1:2" x14ac:dyDescent="0.15">
      <c r="A478" s="47">
        <v>41544</v>
      </c>
      <c r="B478" s="48">
        <v>1.6135999999999999</v>
      </c>
    </row>
    <row r="479" spans="1:2" x14ac:dyDescent="0.15">
      <c r="A479" s="47">
        <v>41547</v>
      </c>
      <c r="B479" s="48">
        <v>1.6184000000000001</v>
      </c>
    </row>
    <row r="480" spans="1:2" x14ac:dyDescent="0.15">
      <c r="A480" s="47">
        <v>41548</v>
      </c>
      <c r="B480" s="48">
        <v>1.6192</v>
      </c>
    </row>
    <row r="481" spans="1:2" x14ac:dyDescent="0.15">
      <c r="A481" s="47">
        <v>41549</v>
      </c>
      <c r="B481" s="48">
        <v>1.6221000000000001</v>
      </c>
    </row>
    <row r="482" spans="1:2" x14ac:dyDescent="0.15">
      <c r="A482" s="47">
        <v>41550</v>
      </c>
      <c r="B482" s="48">
        <v>1.6153</v>
      </c>
    </row>
    <row r="483" spans="1:2" x14ac:dyDescent="0.15">
      <c r="A483" s="47">
        <v>41551</v>
      </c>
      <c r="B483" s="48">
        <v>1.6008</v>
      </c>
    </row>
    <row r="484" spans="1:2" x14ac:dyDescent="0.15">
      <c r="A484" s="47">
        <v>41554</v>
      </c>
      <c r="B484" s="48">
        <v>1.6094999999999999</v>
      </c>
    </row>
    <row r="485" spans="1:2" x14ac:dyDescent="0.15">
      <c r="A485" s="47">
        <v>41555</v>
      </c>
      <c r="B485" s="48">
        <v>1.6082000000000001</v>
      </c>
    </row>
    <row r="486" spans="1:2" x14ac:dyDescent="0.15">
      <c r="A486" s="47">
        <v>41556</v>
      </c>
      <c r="B486" s="48">
        <v>1.5953999999999999</v>
      </c>
    </row>
    <row r="487" spans="1:2" x14ac:dyDescent="0.15">
      <c r="A487" s="47">
        <v>41557</v>
      </c>
      <c r="B487" s="48">
        <v>1.5964</v>
      </c>
    </row>
    <row r="488" spans="1:2" x14ac:dyDescent="0.15">
      <c r="A488" s="47">
        <v>41558</v>
      </c>
      <c r="B488" s="48">
        <v>1.5953999999999999</v>
      </c>
    </row>
    <row r="489" spans="1:2" x14ac:dyDescent="0.15">
      <c r="A489" s="47">
        <v>41561</v>
      </c>
      <c r="B489" s="48">
        <v>1.5982000000000001</v>
      </c>
    </row>
    <row r="490" spans="1:2" x14ac:dyDescent="0.15">
      <c r="A490" s="47">
        <v>41562</v>
      </c>
      <c r="B490" s="48">
        <v>1.5995999999999999</v>
      </c>
    </row>
    <row r="491" spans="1:2" x14ac:dyDescent="0.15">
      <c r="A491" s="47">
        <v>41563</v>
      </c>
      <c r="B491" s="48">
        <v>1.5948</v>
      </c>
    </row>
    <row r="492" spans="1:2" x14ac:dyDescent="0.15">
      <c r="A492" s="47">
        <v>41564</v>
      </c>
      <c r="B492" s="48">
        <v>1.6164000000000001</v>
      </c>
    </row>
    <row r="493" spans="1:2" x14ac:dyDescent="0.15">
      <c r="A493" s="47">
        <v>41565</v>
      </c>
      <c r="B493" s="48">
        <v>1.6165</v>
      </c>
    </row>
    <row r="494" spans="1:2" x14ac:dyDescent="0.15">
      <c r="A494" s="47">
        <v>41568</v>
      </c>
      <c r="B494" s="48">
        <v>1.6145</v>
      </c>
    </row>
    <row r="495" spans="1:2" x14ac:dyDescent="0.15">
      <c r="A495" s="47">
        <v>41569</v>
      </c>
      <c r="B495" s="48">
        <v>1.6234</v>
      </c>
    </row>
    <row r="496" spans="1:2" x14ac:dyDescent="0.15">
      <c r="A496" s="47">
        <v>41570</v>
      </c>
      <c r="B496" s="48">
        <v>1.6162000000000001</v>
      </c>
    </row>
    <row r="497" spans="1:2" x14ac:dyDescent="0.15">
      <c r="A497" s="47">
        <v>41571</v>
      </c>
      <c r="B497" s="48">
        <v>1.62</v>
      </c>
    </row>
    <row r="498" spans="1:2" x14ac:dyDescent="0.15">
      <c r="A498" s="47">
        <v>41572</v>
      </c>
      <c r="B498" s="48">
        <v>1.6164000000000001</v>
      </c>
    </row>
    <row r="499" spans="1:2" x14ac:dyDescent="0.15">
      <c r="A499" s="47">
        <v>41575</v>
      </c>
      <c r="B499" s="48">
        <v>1.6138999999999999</v>
      </c>
    </row>
    <row r="500" spans="1:2" x14ac:dyDescent="0.15">
      <c r="A500" s="47">
        <v>41576</v>
      </c>
      <c r="B500" s="48">
        <v>1.6045</v>
      </c>
    </row>
    <row r="501" spans="1:2" x14ac:dyDescent="0.15">
      <c r="A501" s="47">
        <v>41577</v>
      </c>
      <c r="B501" s="48">
        <v>1.6035999999999999</v>
      </c>
    </row>
    <row r="502" spans="1:2" x14ac:dyDescent="0.15">
      <c r="A502" s="47">
        <v>41578</v>
      </c>
      <c r="B502" s="48">
        <v>1.6040000000000001</v>
      </c>
    </row>
    <row r="503" spans="1:2" x14ac:dyDescent="0.15">
      <c r="A503" s="47">
        <v>41579</v>
      </c>
      <c r="B503" s="48">
        <v>1.5924</v>
      </c>
    </row>
    <row r="504" spans="1:2" x14ac:dyDescent="0.15">
      <c r="A504" s="47">
        <v>41582</v>
      </c>
      <c r="B504" s="48">
        <v>1.5966</v>
      </c>
    </row>
    <row r="505" spans="1:2" x14ac:dyDescent="0.15">
      <c r="A505" s="47">
        <v>41583</v>
      </c>
      <c r="B505" s="48">
        <v>1.6044</v>
      </c>
    </row>
    <row r="506" spans="1:2" x14ac:dyDescent="0.15">
      <c r="A506" s="47">
        <v>41584</v>
      </c>
      <c r="B506" s="48">
        <v>1.6079000000000001</v>
      </c>
    </row>
    <row r="507" spans="1:2" x14ac:dyDescent="0.15">
      <c r="A507" s="47">
        <v>41585</v>
      </c>
      <c r="B507" s="48">
        <v>1.6095999999999999</v>
      </c>
    </row>
    <row r="508" spans="1:2" x14ac:dyDescent="0.15">
      <c r="A508" s="47">
        <v>41586</v>
      </c>
      <c r="B508" s="48">
        <v>1.6014999999999999</v>
      </c>
    </row>
    <row r="509" spans="1:2" x14ac:dyDescent="0.15">
      <c r="A509" s="47">
        <v>41589</v>
      </c>
      <c r="B509" s="48">
        <v>1.5988</v>
      </c>
    </row>
    <row r="510" spans="1:2" x14ac:dyDescent="0.15">
      <c r="A510" s="47">
        <v>41590</v>
      </c>
      <c r="B510" s="48">
        <v>1.5904</v>
      </c>
    </row>
    <row r="511" spans="1:2" x14ac:dyDescent="0.15">
      <c r="A511" s="47">
        <v>41591</v>
      </c>
      <c r="B511" s="48">
        <v>1.6055999999999999</v>
      </c>
    </row>
    <row r="512" spans="1:2" x14ac:dyDescent="0.15">
      <c r="A512" s="47">
        <v>41592</v>
      </c>
      <c r="B512" s="48">
        <v>1.6063000000000001</v>
      </c>
    </row>
    <row r="513" spans="1:2" x14ac:dyDescent="0.15">
      <c r="A513" s="47">
        <v>41593</v>
      </c>
      <c r="B513" s="48">
        <v>1.6119000000000001</v>
      </c>
    </row>
    <row r="514" spans="1:2" x14ac:dyDescent="0.15">
      <c r="A514" s="47">
        <v>41596</v>
      </c>
      <c r="B514" s="48">
        <v>1.6108</v>
      </c>
    </row>
    <row r="515" spans="1:2" x14ac:dyDescent="0.15">
      <c r="A515" s="47">
        <v>41597</v>
      </c>
      <c r="B515" s="48">
        <v>1.6119000000000001</v>
      </c>
    </row>
    <row r="516" spans="1:2" x14ac:dyDescent="0.15">
      <c r="A516" s="47">
        <v>41598</v>
      </c>
      <c r="B516" s="48">
        <v>1.6104000000000001</v>
      </c>
    </row>
    <row r="517" spans="1:2" x14ac:dyDescent="0.15">
      <c r="A517" s="47">
        <v>41599</v>
      </c>
      <c r="B517" s="48">
        <v>1.6197999999999999</v>
      </c>
    </row>
    <row r="518" spans="1:2" x14ac:dyDescent="0.15">
      <c r="A518" s="47">
        <v>41600</v>
      </c>
      <c r="B518" s="48">
        <v>1.6223000000000001</v>
      </c>
    </row>
    <row r="519" spans="1:2" x14ac:dyDescent="0.15">
      <c r="A519" s="47">
        <v>41603</v>
      </c>
      <c r="B519" s="48">
        <v>1.6153</v>
      </c>
    </row>
    <row r="520" spans="1:2" x14ac:dyDescent="0.15">
      <c r="A520" s="47">
        <v>41604</v>
      </c>
      <c r="B520" s="48">
        <v>1.6213</v>
      </c>
    </row>
    <row r="521" spans="1:2" x14ac:dyDescent="0.15">
      <c r="A521" s="47">
        <v>41605</v>
      </c>
      <c r="B521" s="48">
        <v>1.6286</v>
      </c>
    </row>
    <row r="522" spans="1:2" x14ac:dyDescent="0.15">
      <c r="A522" s="47">
        <v>41606</v>
      </c>
      <c r="B522" s="48">
        <v>1.6339999999999999</v>
      </c>
    </row>
    <row r="523" spans="1:2" x14ac:dyDescent="0.15">
      <c r="A523" s="47">
        <v>41607</v>
      </c>
      <c r="B523" s="48">
        <v>1.6365000000000001</v>
      </c>
    </row>
    <row r="524" spans="1:2" x14ac:dyDescent="0.15">
      <c r="A524" s="47">
        <v>41610</v>
      </c>
      <c r="B524" s="48">
        <v>1.6355</v>
      </c>
    </row>
    <row r="525" spans="1:2" x14ac:dyDescent="0.15">
      <c r="A525" s="47">
        <v>41611</v>
      </c>
      <c r="B525" s="48">
        <v>1.6391</v>
      </c>
    </row>
    <row r="526" spans="1:2" x14ac:dyDescent="0.15">
      <c r="A526" s="47">
        <v>41612</v>
      </c>
      <c r="B526" s="48">
        <v>1.6382000000000001</v>
      </c>
    </row>
    <row r="527" spans="1:2" x14ac:dyDescent="0.15">
      <c r="A527" s="47">
        <v>41613</v>
      </c>
      <c r="B527" s="48">
        <v>1.6333</v>
      </c>
    </row>
    <row r="528" spans="1:2" x14ac:dyDescent="0.15">
      <c r="A528" s="47">
        <v>41614</v>
      </c>
      <c r="B528" s="48">
        <v>1.6347</v>
      </c>
    </row>
    <row r="529" spans="1:2" x14ac:dyDescent="0.15">
      <c r="A529" s="47">
        <v>41617</v>
      </c>
      <c r="B529" s="48">
        <v>1.6428</v>
      </c>
    </row>
    <row r="530" spans="1:2" x14ac:dyDescent="0.15">
      <c r="A530" s="47">
        <v>41618</v>
      </c>
      <c r="B530" s="48">
        <v>1.6445000000000001</v>
      </c>
    </row>
    <row r="531" spans="1:2" x14ac:dyDescent="0.15">
      <c r="A531" s="47">
        <v>41619</v>
      </c>
      <c r="B531" s="48">
        <v>1.6373</v>
      </c>
    </row>
    <row r="532" spans="1:2" x14ac:dyDescent="0.15">
      <c r="A532" s="47">
        <v>41620</v>
      </c>
      <c r="B532" s="48">
        <v>1.6348</v>
      </c>
    </row>
    <row r="533" spans="1:2" x14ac:dyDescent="0.15">
      <c r="A533" s="47">
        <v>41621</v>
      </c>
      <c r="B533" s="48">
        <v>1.6295999999999999</v>
      </c>
    </row>
    <row r="534" spans="1:2" x14ac:dyDescent="0.15">
      <c r="A534" s="47">
        <v>41624</v>
      </c>
      <c r="B534" s="48">
        <v>1.6295999999999999</v>
      </c>
    </row>
    <row r="535" spans="1:2" x14ac:dyDescent="0.15">
      <c r="A535" s="47">
        <v>41625</v>
      </c>
      <c r="B535" s="48">
        <v>1.6261000000000001</v>
      </c>
    </row>
    <row r="536" spans="1:2" x14ac:dyDescent="0.15">
      <c r="A536" s="47">
        <v>41626</v>
      </c>
      <c r="B536" s="48">
        <v>1.6391</v>
      </c>
    </row>
    <row r="537" spans="1:2" x14ac:dyDescent="0.15">
      <c r="A537" s="47">
        <v>41627</v>
      </c>
      <c r="B537" s="48">
        <v>1.6369</v>
      </c>
    </row>
    <row r="538" spans="1:2" x14ac:dyDescent="0.15">
      <c r="A538" s="47">
        <v>41628</v>
      </c>
      <c r="B538" s="48">
        <v>1.6333</v>
      </c>
    </row>
    <row r="539" spans="1:2" x14ac:dyDescent="0.15">
      <c r="A539" s="47">
        <v>41631</v>
      </c>
      <c r="B539" s="48">
        <v>1.6353</v>
      </c>
    </row>
    <row r="540" spans="1:2" x14ac:dyDescent="0.15">
      <c r="A540" s="47">
        <v>41632</v>
      </c>
      <c r="B540" s="48">
        <v>1.6373</v>
      </c>
    </row>
    <row r="541" spans="1:2" x14ac:dyDescent="0.15">
      <c r="A541" s="47">
        <v>41633</v>
      </c>
      <c r="B541" s="48">
        <v>1.6347</v>
      </c>
    </row>
    <row r="542" spans="1:2" x14ac:dyDescent="0.15">
      <c r="A542" s="47">
        <v>41634</v>
      </c>
      <c r="B542" s="48">
        <v>1.6409</v>
      </c>
    </row>
    <row r="543" spans="1:2" x14ac:dyDescent="0.15">
      <c r="A543" s="47">
        <v>41635</v>
      </c>
      <c r="B543" s="48">
        <v>1.6477999999999999</v>
      </c>
    </row>
    <row r="544" spans="1:2" x14ac:dyDescent="0.15">
      <c r="A544" s="47">
        <v>41638</v>
      </c>
      <c r="B544" s="48">
        <v>1.65</v>
      </c>
    </row>
    <row r="545" spans="1:2" x14ac:dyDescent="0.15">
      <c r="A545" s="47">
        <v>41639</v>
      </c>
      <c r="B545" s="48">
        <v>1.6556</v>
      </c>
    </row>
    <row r="546" spans="1:2" x14ac:dyDescent="0.15">
      <c r="A546" s="47">
        <v>41640</v>
      </c>
      <c r="B546" s="48">
        <v>1.6563000000000001</v>
      </c>
    </row>
    <row r="547" spans="1:2" x14ac:dyDescent="0.15">
      <c r="A547" s="47">
        <v>41641</v>
      </c>
      <c r="B547" s="48">
        <v>1.6451</v>
      </c>
    </row>
    <row r="548" spans="1:2" x14ac:dyDescent="0.15">
      <c r="A548" s="47">
        <v>41642</v>
      </c>
      <c r="B548" s="48">
        <v>1.6413</v>
      </c>
    </row>
    <row r="549" spans="1:2" x14ac:dyDescent="0.15">
      <c r="A549" s="47">
        <v>41645</v>
      </c>
      <c r="B549" s="48">
        <v>1.6404000000000001</v>
      </c>
    </row>
    <row r="550" spans="1:2" x14ac:dyDescent="0.15">
      <c r="A550" s="47">
        <v>41646</v>
      </c>
      <c r="B550" s="48">
        <v>1.6400999999999999</v>
      </c>
    </row>
    <row r="551" spans="1:2" x14ac:dyDescent="0.15">
      <c r="A551" s="47">
        <v>41647</v>
      </c>
      <c r="B551" s="48">
        <v>1.6447000000000001</v>
      </c>
    </row>
    <row r="552" spans="1:2" x14ac:dyDescent="0.15">
      <c r="A552" s="47">
        <v>41648</v>
      </c>
      <c r="B552" s="48">
        <v>1.6478999999999999</v>
      </c>
    </row>
    <row r="553" spans="1:2" x14ac:dyDescent="0.15">
      <c r="A553" s="47">
        <v>41649</v>
      </c>
      <c r="B553" s="48">
        <v>1.6478999999999999</v>
      </c>
    </row>
    <row r="554" spans="1:2" x14ac:dyDescent="0.15">
      <c r="A554" s="47">
        <v>41652</v>
      </c>
      <c r="B554" s="48">
        <v>1.6382000000000001</v>
      </c>
    </row>
    <row r="555" spans="1:2" x14ac:dyDescent="0.15">
      <c r="A555" s="47">
        <v>41653</v>
      </c>
      <c r="B555" s="48">
        <v>1.6437999999999999</v>
      </c>
    </row>
    <row r="556" spans="1:2" x14ac:dyDescent="0.15">
      <c r="A556" s="47">
        <v>41654</v>
      </c>
      <c r="B556" s="48">
        <v>1.6368</v>
      </c>
    </row>
    <row r="557" spans="1:2" x14ac:dyDescent="0.15">
      <c r="A557" s="47">
        <v>41655</v>
      </c>
      <c r="B557" s="48">
        <v>1.6353</v>
      </c>
    </row>
    <row r="558" spans="1:2" x14ac:dyDescent="0.15">
      <c r="A558" s="47">
        <v>41656</v>
      </c>
      <c r="B558" s="48">
        <v>1.6420999999999999</v>
      </c>
    </row>
    <row r="559" spans="1:2" x14ac:dyDescent="0.15">
      <c r="A559" s="47">
        <v>41659</v>
      </c>
      <c r="B559" s="48">
        <v>1.6429</v>
      </c>
    </row>
    <row r="560" spans="1:2" x14ac:dyDescent="0.15">
      <c r="A560" s="47">
        <v>41660</v>
      </c>
      <c r="B560" s="48">
        <v>1.6475</v>
      </c>
    </row>
    <row r="561" spans="1:2" x14ac:dyDescent="0.15">
      <c r="A561" s="47">
        <v>41661</v>
      </c>
      <c r="B561" s="48">
        <v>1.6574</v>
      </c>
    </row>
    <row r="562" spans="1:2" x14ac:dyDescent="0.15">
      <c r="A562" s="47">
        <v>41662</v>
      </c>
      <c r="B562" s="48">
        <v>1.6636</v>
      </c>
    </row>
    <row r="563" spans="1:2" x14ac:dyDescent="0.15">
      <c r="A563" s="47">
        <v>41663</v>
      </c>
      <c r="B563" s="48">
        <v>1.6480999999999999</v>
      </c>
    </row>
    <row r="564" spans="1:2" x14ac:dyDescent="0.15">
      <c r="A564" s="47">
        <v>41666</v>
      </c>
      <c r="B564" s="48">
        <v>1.6584000000000001</v>
      </c>
    </row>
    <row r="565" spans="1:2" x14ac:dyDescent="0.15">
      <c r="A565" s="47">
        <v>41667</v>
      </c>
      <c r="B565" s="48">
        <v>1.6577</v>
      </c>
    </row>
    <row r="566" spans="1:2" x14ac:dyDescent="0.15">
      <c r="A566" s="47">
        <v>41668</v>
      </c>
      <c r="B566" s="48">
        <v>1.6559999999999999</v>
      </c>
    </row>
    <row r="567" spans="1:2" x14ac:dyDescent="0.15">
      <c r="A567" s="47">
        <v>41669</v>
      </c>
      <c r="B567" s="48">
        <v>1.6484000000000001</v>
      </c>
    </row>
    <row r="568" spans="1:2" x14ac:dyDescent="0.15">
      <c r="A568" s="47">
        <v>41670</v>
      </c>
      <c r="B568" s="48">
        <v>1.6432</v>
      </c>
    </row>
    <row r="569" spans="1:2" x14ac:dyDescent="0.15">
      <c r="A569" s="47">
        <v>41673</v>
      </c>
      <c r="B569" s="48">
        <v>1.6304000000000001</v>
      </c>
    </row>
    <row r="570" spans="1:2" x14ac:dyDescent="0.15">
      <c r="A570" s="47">
        <v>41674</v>
      </c>
      <c r="B570" s="48">
        <v>1.6324000000000001</v>
      </c>
    </row>
    <row r="571" spans="1:2" x14ac:dyDescent="0.15">
      <c r="A571" s="47">
        <v>41675</v>
      </c>
      <c r="B571" s="48">
        <v>1.6308</v>
      </c>
    </row>
    <row r="572" spans="1:2" x14ac:dyDescent="0.15">
      <c r="A572" s="47">
        <v>41676</v>
      </c>
      <c r="B572" s="48">
        <v>1.6319999999999999</v>
      </c>
    </row>
    <row r="573" spans="1:2" x14ac:dyDescent="0.15">
      <c r="A573" s="47">
        <v>41677</v>
      </c>
      <c r="B573" s="48">
        <v>1.6409</v>
      </c>
    </row>
    <row r="574" spans="1:2" x14ac:dyDescent="0.15">
      <c r="A574" s="47">
        <v>41680</v>
      </c>
      <c r="B574" s="48">
        <v>1.64</v>
      </c>
    </row>
    <row r="575" spans="1:2" x14ac:dyDescent="0.15">
      <c r="A575" s="47">
        <v>41681</v>
      </c>
      <c r="B575" s="48">
        <v>1.6448</v>
      </c>
    </row>
    <row r="576" spans="1:2" x14ac:dyDescent="0.15">
      <c r="A576" s="47">
        <v>41682</v>
      </c>
      <c r="B576" s="48">
        <v>1.6594</v>
      </c>
    </row>
    <row r="577" spans="1:2" x14ac:dyDescent="0.15">
      <c r="A577" s="47">
        <v>41683</v>
      </c>
      <c r="B577" s="48">
        <v>1.6657</v>
      </c>
    </row>
    <row r="578" spans="1:2" x14ac:dyDescent="0.15">
      <c r="A578" s="47">
        <v>41684</v>
      </c>
      <c r="B578" s="48">
        <v>1.6744000000000001</v>
      </c>
    </row>
    <row r="579" spans="1:2" x14ac:dyDescent="0.15">
      <c r="A579" s="47">
        <v>41687</v>
      </c>
      <c r="B579" s="48">
        <v>1.6713</v>
      </c>
    </row>
    <row r="580" spans="1:2" x14ac:dyDescent="0.15">
      <c r="A580" s="47">
        <v>41688</v>
      </c>
      <c r="B580" s="48">
        <v>1.6682999999999999</v>
      </c>
    </row>
    <row r="581" spans="1:2" x14ac:dyDescent="0.15">
      <c r="A581" s="47">
        <v>41689</v>
      </c>
      <c r="B581" s="48">
        <v>1.6678999999999999</v>
      </c>
    </row>
    <row r="582" spans="1:2" x14ac:dyDescent="0.15">
      <c r="A582" s="47">
        <v>41690</v>
      </c>
      <c r="B582" s="48">
        <v>1.665</v>
      </c>
    </row>
    <row r="583" spans="1:2" x14ac:dyDescent="0.15">
      <c r="A583" s="47">
        <v>41691</v>
      </c>
      <c r="B583" s="48">
        <v>1.6614</v>
      </c>
    </row>
    <row r="584" spans="1:2" x14ac:dyDescent="0.15">
      <c r="A584" s="47">
        <v>41694</v>
      </c>
      <c r="B584" s="48">
        <v>1.6656</v>
      </c>
    </row>
    <row r="585" spans="1:2" x14ac:dyDescent="0.15">
      <c r="A585" s="47">
        <v>41695</v>
      </c>
      <c r="B585" s="48">
        <v>1.6678999999999999</v>
      </c>
    </row>
    <row r="586" spans="1:2" x14ac:dyDescent="0.15">
      <c r="A586" s="47">
        <v>41696</v>
      </c>
      <c r="B586" s="48">
        <v>1.6672</v>
      </c>
    </row>
    <row r="587" spans="1:2" x14ac:dyDescent="0.15">
      <c r="A587" s="47">
        <v>41697</v>
      </c>
      <c r="B587" s="48">
        <v>1.6686000000000001</v>
      </c>
    </row>
    <row r="588" spans="1:2" x14ac:dyDescent="0.15">
      <c r="A588" s="47">
        <v>41698</v>
      </c>
      <c r="B588" s="48">
        <v>1.6742999999999999</v>
      </c>
    </row>
    <row r="589" spans="1:2" x14ac:dyDescent="0.15">
      <c r="A589" s="47">
        <v>41701</v>
      </c>
      <c r="B589" s="48">
        <v>1.6665000000000001</v>
      </c>
    </row>
    <row r="590" spans="1:2" x14ac:dyDescent="0.15">
      <c r="A590" s="47">
        <v>41702</v>
      </c>
      <c r="B590" s="48">
        <v>1.6661999999999999</v>
      </c>
    </row>
    <row r="591" spans="1:2" x14ac:dyDescent="0.15">
      <c r="A591" s="47">
        <v>41703</v>
      </c>
      <c r="B591" s="48">
        <v>1.6720999999999999</v>
      </c>
    </row>
    <row r="592" spans="1:2" x14ac:dyDescent="0.15">
      <c r="A592" s="47">
        <v>41704</v>
      </c>
      <c r="B592" s="48">
        <v>1.6737</v>
      </c>
    </row>
    <row r="593" spans="1:2" x14ac:dyDescent="0.15">
      <c r="A593" s="47">
        <v>41705</v>
      </c>
      <c r="B593" s="48">
        <v>1.6711</v>
      </c>
    </row>
    <row r="594" spans="1:2" x14ac:dyDescent="0.15">
      <c r="A594" s="47">
        <v>41708</v>
      </c>
      <c r="B594" s="48">
        <v>1.6642999999999999</v>
      </c>
    </row>
    <row r="595" spans="1:2" x14ac:dyDescent="0.15">
      <c r="A595" s="47">
        <v>41709</v>
      </c>
      <c r="B595" s="48">
        <v>1.6615</v>
      </c>
    </row>
    <row r="596" spans="1:2" x14ac:dyDescent="0.15">
      <c r="A596" s="47">
        <v>41710</v>
      </c>
      <c r="B596" s="48">
        <v>1.6616</v>
      </c>
    </row>
    <row r="597" spans="1:2" x14ac:dyDescent="0.15">
      <c r="A597" s="47">
        <v>41711</v>
      </c>
      <c r="B597" s="48">
        <v>1.6624000000000001</v>
      </c>
    </row>
    <row r="598" spans="1:2" x14ac:dyDescent="0.15">
      <c r="A598" s="47">
        <v>41712</v>
      </c>
      <c r="B598" s="48">
        <v>1.6642999999999999</v>
      </c>
    </row>
    <row r="599" spans="1:2" x14ac:dyDescent="0.15">
      <c r="A599" s="47">
        <v>41715</v>
      </c>
      <c r="B599" s="48">
        <v>1.6633</v>
      </c>
    </row>
    <row r="600" spans="1:2" x14ac:dyDescent="0.15">
      <c r="A600" s="47">
        <v>41716</v>
      </c>
      <c r="B600" s="48">
        <v>1.6592</v>
      </c>
    </row>
    <row r="601" spans="1:2" x14ac:dyDescent="0.15">
      <c r="A601" s="47">
        <v>41717</v>
      </c>
      <c r="B601" s="48">
        <v>1.6540999999999999</v>
      </c>
    </row>
    <row r="602" spans="1:2" x14ac:dyDescent="0.15">
      <c r="A602" s="47">
        <v>41718</v>
      </c>
      <c r="B602" s="48">
        <v>1.6503000000000001</v>
      </c>
    </row>
    <row r="603" spans="1:2" x14ac:dyDescent="0.15">
      <c r="A603" s="47">
        <v>41719</v>
      </c>
      <c r="B603" s="48">
        <v>1.6484000000000001</v>
      </c>
    </row>
    <row r="604" spans="1:2" x14ac:dyDescent="0.15">
      <c r="A604" s="47">
        <v>41722</v>
      </c>
      <c r="B604" s="48">
        <v>1.6496</v>
      </c>
    </row>
    <row r="605" spans="1:2" x14ac:dyDescent="0.15">
      <c r="A605" s="47">
        <v>41723</v>
      </c>
      <c r="B605" s="48">
        <v>1.6527000000000001</v>
      </c>
    </row>
    <row r="606" spans="1:2" x14ac:dyDescent="0.15">
      <c r="A606" s="47">
        <v>41724</v>
      </c>
      <c r="B606" s="48">
        <v>1.6585000000000001</v>
      </c>
    </row>
    <row r="607" spans="1:2" x14ac:dyDescent="0.15">
      <c r="A607" s="47">
        <v>41725</v>
      </c>
      <c r="B607" s="48">
        <v>1.6609</v>
      </c>
    </row>
    <row r="608" spans="1:2" x14ac:dyDescent="0.15">
      <c r="A608" s="47">
        <v>41726</v>
      </c>
      <c r="B608" s="48">
        <v>1.6636</v>
      </c>
    </row>
    <row r="609" spans="1:2" x14ac:dyDescent="0.15">
      <c r="A609" s="47">
        <v>41729</v>
      </c>
      <c r="B609" s="48">
        <v>1.6661999999999999</v>
      </c>
    </row>
    <row r="610" spans="1:2" x14ac:dyDescent="0.15">
      <c r="A610" s="47">
        <v>41730</v>
      </c>
      <c r="B610" s="48">
        <v>1.6629</v>
      </c>
    </row>
    <row r="611" spans="1:2" x14ac:dyDescent="0.15">
      <c r="A611" s="47">
        <v>41731</v>
      </c>
      <c r="B611" s="48">
        <v>1.6625000000000001</v>
      </c>
    </row>
    <row r="612" spans="1:2" x14ac:dyDescent="0.15">
      <c r="A612" s="47">
        <v>41732</v>
      </c>
      <c r="B612" s="48">
        <v>1.6597</v>
      </c>
    </row>
    <row r="613" spans="1:2" x14ac:dyDescent="0.15">
      <c r="A613" s="47">
        <v>41733</v>
      </c>
      <c r="B613" s="48">
        <v>1.6577999999999999</v>
      </c>
    </row>
    <row r="614" spans="1:2" x14ac:dyDescent="0.15">
      <c r="A614" s="47">
        <v>41736</v>
      </c>
      <c r="B614" s="48">
        <v>1.6608000000000001</v>
      </c>
    </row>
    <row r="615" spans="1:2" x14ac:dyDescent="0.15">
      <c r="A615" s="47">
        <v>41737</v>
      </c>
      <c r="B615" s="48">
        <v>1.6746000000000001</v>
      </c>
    </row>
    <row r="616" spans="1:2" x14ac:dyDescent="0.15">
      <c r="A616" s="47">
        <v>41738</v>
      </c>
      <c r="B616" s="48">
        <v>1.6792</v>
      </c>
    </row>
    <row r="617" spans="1:2" x14ac:dyDescent="0.15">
      <c r="A617" s="47">
        <v>41739</v>
      </c>
      <c r="B617" s="48">
        <v>1.6782999999999999</v>
      </c>
    </row>
    <row r="618" spans="1:2" x14ac:dyDescent="0.15">
      <c r="A618" s="47">
        <v>41740</v>
      </c>
      <c r="B618" s="48">
        <v>1.6732</v>
      </c>
    </row>
    <row r="619" spans="1:2" x14ac:dyDescent="0.15">
      <c r="A619" s="47">
        <v>41743</v>
      </c>
      <c r="B619" s="48">
        <v>1.6728000000000001</v>
      </c>
    </row>
    <row r="620" spans="1:2" x14ac:dyDescent="0.15">
      <c r="A620" s="47">
        <v>41744</v>
      </c>
      <c r="B620" s="48">
        <v>1.6728000000000001</v>
      </c>
    </row>
    <row r="621" spans="1:2" x14ac:dyDescent="0.15">
      <c r="A621" s="47">
        <v>41745</v>
      </c>
      <c r="B621" s="48">
        <v>1.6796</v>
      </c>
    </row>
    <row r="622" spans="1:2" x14ac:dyDescent="0.15">
      <c r="A622" s="47">
        <v>41746</v>
      </c>
      <c r="B622" s="48">
        <v>1.6791</v>
      </c>
    </row>
    <row r="623" spans="1:2" x14ac:dyDescent="0.15">
      <c r="A623" s="47">
        <v>41747</v>
      </c>
      <c r="B623" s="48">
        <v>1.6805000000000001</v>
      </c>
    </row>
    <row r="624" spans="1:2" x14ac:dyDescent="0.15">
      <c r="A624" s="47">
        <v>41750</v>
      </c>
      <c r="B624" s="48">
        <v>1.679</v>
      </c>
    </row>
    <row r="625" spans="1:2" x14ac:dyDescent="0.15">
      <c r="A625" s="47">
        <v>41751</v>
      </c>
      <c r="B625" s="48">
        <v>1.6821999999999999</v>
      </c>
    </row>
    <row r="626" spans="1:2" x14ac:dyDescent="0.15">
      <c r="A626" s="47">
        <v>41752</v>
      </c>
      <c r="B626" s="48">
        <v>1.6779999999999999</v>
      </c>
    </row>
    <row r="627" spans="1:2" x14ac:dyDescent="0.15">
      <c r="A627" s="47">
        <v>41753</v>
      </c>
      <c r="B627" s="48">
        <v>1.6802999999999999</v>
      </c>
    </row>
    <row r="628" spans="1:2" x14ac:dyDescent="0.15">
      <c r="A628" s="47">
        <v>41754</v>
      </c>
      <c r="B628" s="48">
        <v>1.6802999999999999</v>
      </c>
    </row>
    <row r="629" spans="1:2" x14ac:dyDescent="0.15">
      <c r="A629" s="47">
        <v>41757</v>
      </c>
      <c r="B629" s="48">
        <v>1.6807000000000001</v>
      </c>
    </row>
    <row r="630" spans="1:2" x14ac:dyDescent="0.15">
      <c r="A630" s="47">
        <v>41758</v>
      </c>
      <c r="B630" s="48">
        <v>1.6825000000000001</v>
      </c>
    </row>
    <row r="631" spans="1:2" x14ac:dyDescent="0.15">
      <c r="A631" s="47">
        <v>41759</v>
      </c>
      <c r="B631" s="48">
        <v>1.6870000000000001</v>
      </c>
    </row>
    <row r="632" spans="1:2" x14ac:dyDescent="0.15">
      <c r="A632" s="47">
        <v>41760</v>
      </c>
      <c r="B632" s="48">
        <v>1.6891</v>
      </c>
    </row>
    <row r="633" spans="1:2" x14ac:dyDescent="0.15">
      <c r="A633" s="47">
        <v>41761</v>
      </c>
      <c r="B633" s="48">
        <v>1.6865000000000001</v>
      </c>
    </row>
    <row r="634" spans="1:2" x14ac:dyDescent="0.15">
      <c r="A634" s="47">
        <v>41764</v>
      </c>
      <c r="B634" s="48">
        <v>1.6861999999999999</v>
      </c>
    </row>
    <row r="635" spans="1:2" x14ac:dyDescent="0.15">
      <c r="A635" s="47">
        <v>41765</v>
      </c>
      <c r="B635" s="48">
        <v>1.6976</v>
      </c>
    </row>
    <row r="636" spans="1:2" x14ac:dyDescent="0.15">
      <c r="A636" s="47">
        <v>41766</v>
      </c>
      <c r="B636" s="48">
        <v>1.6952</v>
      </c>
    </row>
    <row r="637" spans="1:2" x14ac:dyDescent="0.15">
      <c r="A637" s="47">
        <v>41767</v>
      </c>
      <c r="B637" s="48">
        <v>1.6931</v>
      </c>
    </row>
    <row r="638" spans="1:2" x14ac:dyDescent="0.15">
      <c r="A638" s="47">
        <v>41768</v>
      </c>
      <c r="B638" s="48">
        <v>1.6849000000000001</v>
      </c>
    </row>
    <row r="639" spans="1:2" x14ac:dyDescent="0.15">
      <c r="A639" s="47">
        <v>41771</v>
      </c>
      <c r="B639" s="48">
        <v>1.6867000000000001</v>
      </c>
    </row>
    <row r="640" spans="1:2" x14ac:dyDescent="0.15">
      <c r="A640" s="47">
        <v>41772</v>
      </c>
      <c r="B640" s="48">
        <v>1.6825000000000001</v>
      </c>
    </row>
    <row r="641" spans="1:2" x14ac:dyDescent="0.15">
      <c r="A641" s="47">
        <v>41773</v>
      </c>
      <c r="B641" s="48">
        <v>1.6766000000000001</v>
      </c>
    </row>
    <row r="642" spans="1:2" x14ac:dyDescent="0.15">
      <c r="A642" s="47">
        <v>41774</v>
      </c>
      <c r="B642" s="48">
        <v>1.6787000000000001</v>
      </c>
    </row>
    <row r="643" spans="1:2" x14ac:dyDescent="0.15">
      <c r="A643" s="47">
        <v>41775</v>
      </c>
      <c r="B643" s="48">
        <v>1.6813</v>
      </c>
    </row>
    <row r="644" spans="1:2" x14ac:dyDescent="0.15">
      <c r="A644" s="47">
        <v>41778</v>
      </c>
      <c r="B644" s="48">
        <v>1.6811</v>
      </c>
    </row>
    <row r="645" spans="1:2" x14ac:dyDescent="0.15">
      <c r="A645" s="47">
        <v>41779</v>
      </c>
      <c r="B645" s="48">
        <v>1.6837</v>
      </c>
    </row>
    <row r="646" spans="1:2" x14ac:dyDescent="0.15">
      <c r="A646" s="47">
        <v>41780</v>
      </c>
      <c r="B646" s="48">
        <v>1.6899</v>
      </c>
    </row>
    <row r="647" spans="1:2" x14ac:dyDescent="0.15">
      <c r="A647" s="47">
        <v>41781</v>
      </c>
      <c r="B647" s="48">
        <v>1.6868000000000001</v>
      </c>
    </row>
    <row r="648" spans="1:2" x14ac:dyDescent="0.15">
      <c r="A648" s="47">
        <v>41782</v>
      </c>
      <c r="B648" s="48">
        <v>1.6830000000000001</v>
      </c>
    </row>
    <row r="649" spans="1:2" x14ac:dyDescent="0.15">
      <c r="A649" s="47">
        <v>41785</v>
      </c>
      <c r="B649" s="48">
        <v>1.6839999999999999</v>
      </c>
    </row>
    <row r="650" spans="1:2" x14ac:dyDescent="0.15">
      <c r="A650" s="47">
        <v>41786</v>
      </c>
      <c r="B650" s="48">
        <v>1.6809000000000001</v>
      </c>
    </row>
    <row r="651" spans="1:2" x14ac:dyDescent="0.15">
      <c r="A651" s="47">
        <v>41787</v>
      </c>
      <c r="B651" s="48">
        <v>1.671</v>
      </c>
    </row>
    <row r="652" spans="1:2" x14ac:dyDescent="0.15">
      <c r="A652" s="47">
        <v>41788</v>
      </c>
      <c r="B652" s="48">
        <v>1.6715</v>
      </c>
    </row>
    <row r="653" spans="1:2" x14ac:dyDescent="0.15">
      <c r="A653" s="47">
        <v>41789</v>
      </c>
      <c r="B653" s="48">
        <v>1.675</v>
      </c>
    </row>
    <row r="654" spans="1:2" x14ac:dyDescent="0.15">
      <c r="A654" s="47">
        <v>41792</v>
      </c>
      <c r="B654" s="48">
        <v>1.6745000000000001</v>
      </c>
    </row>
    <row r="655" spans="1:2" x14ac:dyDescent="0.15">
      <c r="A655" s="47">
        <v>41793</v>
      </c>
      <c r="B655" s="48">
        <v>1.6749000000000001</v>
      </c>
    </row>
    <row r="656" spans="1:2" x14ac:dyDescent="0.15">
      <c r="A656" s="47">
        <v>41794</v>
      </c>
      <c r="B656" s="48">
        <v>1.6735</v>
      </c>
    </row>
    <row r="657" spans="1:2" x14ac:dyDescent="0.15">
      <c r="A657" s="47">
        <v>41795</v>
      </c>
      <c r="B657" s="48">
        <v>1.6819999999999999</v>
      </c>
    </row>
    <row r="658" spans="1:2" x14ac:dyDescent="0.15">
      <c r="A658" s="47">
        <v>41796</v>
      </c>
      <c r="B658" s="48">
        <v>1.68</v>
      </c>
    </row>
    <row r="659" spans="1:2" x14ac:dyDescent="0.15">
      <c r="A659" s="47">
        <v>41799</v>
      </c>
      <c r="B659" s="48">
        <v>1.68</v>
      </c>
    </row>
    <row r="660" spans="1:2" x14ac:dyDescent="0.15">
      <c r="A660" s="47">
        <v>41800</v>
      </c>
      <c r="B660" s="48">
        <v>1.6755</v>
      </c>
    </row>
    <row r="661" spans="1:2" x14ac:dyDescent="0.15">
      <c r="A661" s="47">
        <v>41801</v>
      </c>
      <c r="B661" s="48">
        <v>1.6787000000000001</v>
      </c>
    </row>
    <row r="662" spans="1:2" x14ac:dyDescent="0.15">
      <c r="A662" s="47">
        <v>41802</v>
      </c>
      <c r="B662" s="48">
        <v>1.6928000000000001</v>
      </c>
    </row>
    <row r="663" spans="1:2" x14ac:dyDescent="0.15">
      <c r="A663" s="47">
        <v>41803</v>
      </c>
      <c r="B663" s="48">
        <v>1.6962999999999999</v>
      </c>
    </row>
    <row r="664" spans="1:2" x14ac:dyDescent="0.15">
      <c r="A664" s="47">
        <v>41806</v>
      </c>
      <c r="B664" s="48">
        <v>1.6981999999999999</v>
      </c>
    </row>
    <row r="665" spans="1:2" x14ac:dyDescent="0.15">
      <c r="A665" s="47">
        <v>41807</v>
      </c>
      <c r="B665" s="48">
        <v>1.6962999999999999</v>
      </c>
    </row>
    <row r="666" spans="1:2" x14ac:dyDescent="0.15">
      <c r="A666" s="47">
        <v>41808</v>
      </c>
      <c r="B666" s="48">
        <v>1.6992</v>
      </c>
    </row>
    <row r="667" spans="1:2" x14ac:dyDescent="0.15">
      <c r="A667" s="47">
        <v>41809</v>
      </c>
      <c r="B667" s="48">
        <v>1.7039</v>
      </c>
    </row>
    <row r="668" spans="1:2" x14ac:dyDescent="0.15">
      <c r="A668" s="47">
        <v>41810</v>
      </c>
      <c r="B668" s="48">
        <v>1.7010000000000001</v>
      </c>
    </row>
    <row r="669" spans="1:2" x14ac:dyDescent="0.15">
      <c r="A669" s="47">
        <v>41813</v>
      </c>
      <c r="B669" s="48">
        <v>1.7024999999999999</v>
      </c>
    </row>
    <row r="670" spans="1:2" x14ac:dyDescent="0.15">
      <c r="A670" s="47">
        <v>41814</v>
      </c>
      <c r="B670" s="48">
        <v>1.6983999999999999</v>
      </c>
    </row>
    <row r="671" spans="1:2" x14ac:dyDescent="0.15">
      <c r="A671" s="47">
        <v>41815</v>
      </c>
      <c r="B671" s="48">
        <v>1.6982999999999999</v>
      </c>
    </row>
    <row r="672" spans="1:2" x14ac:dyDescent="0.15">
      <c r="A672" s="47">
        <v>41816</v>
      </c>
      <c r="B672" s="48">
        <v>1.7024999999999999</v>
      </c>
    </row>
    <row r="673" spans="1:2" x14ac:dyDescent="0.15">
      <c r="A673" s="47">
        <v>41817</v>
      </c>
      <c r="B673" s="48">
        <v>1.7033</v>
      </c>
    </row>
    <row r="674" spans="1:2" x14ac:dyDescent="0.15">
      <c r="A674" s="47">
        <v>41820</v>
      </c>
      <c r="B674" s="48">
        <v>1.7102999999999999</v>
      </c>
    </row>
    <row r="675" spans="1:2" x14ac:dyDescent="0.15">
      <c r="A675" s="47">
        <v>41821</v>
      </c>
      <c r="B675" s="48">
        <v>1.7148000000000001</v>
      </c>
    </row>
    <row r="676" spans="1:2" x14ac:dyDescent="0.15">
      <c r="A676" s="47">
        <v>41822</v>
      </c>
      <c r="B676" s="48">
        <v>1.7162999999999999</v>
      </c>
    </row>
    <row r="677" spans="1:2" x14ac:dyDescent="0.15">
      <c r="A677" s="47">
        <v>41823</v>
      </c>
      <c r="B677" s="48">
        <v>1.7153</v>
      </c>
    </row>
    <row r="678" spans="1:2" x14ac:dyDescent="0.15">
      <c r="A678" s="47">
        <v>41824</v>
      </c>
      <c r="B678" s="48">
        <v>1.7158</v>
      </c>
    </row>
    <row r="679" spans="1:2" x14ac:dyDescent="0.15">
      <c r="A679" s="47">
        <v>41827</v>
      </c>
      <c r="B679" s="48">
        <v>1.7125999999999999</v>
      </c>
    </row>
    <row r="680" spans="1:2" x14ac:dyDescent="0.15">
      <c r="A680" s="47">
        <v>41828</v>
      </c>
      <c r="B680" s="48">
        <v>1.7130000000000001</v>
      </c>
    </row>
    <row r="681" spans="1:2" x14ac:dyDescent="0.15">
      <c r="A681" s="47">
        <v>41829</v>
      </c>
      <c r="B681" s="48">
        <v>1.7156</v>
      </c>
    </row>
    <row r="682" spans="1:2" x14ac:dyDescent="0.15">
      <c r="A682" s="47">
        <v>41830</v>
      </c>
      <c r="B682" s="48">
        <v>1.7131000000000001</v>
      </c>
    </row>
    <row r="683" spans="1:2" x14ac:dyDescent="0.15">
      <c r="A683" s="47">
        <v>41831</v>
      </c>
      <c r="B683" s="48">
        <v>1.7121999999999999</v>
      </c>
    </row>
    <row r="684" spans="1:2" x14ac:dyDescent="0.15">
      <c r="A684" s="47">
        <v>41834</v>
      </c>
      <c r="B684" s="48">
        <v>1.7082999999999999</v>
      </c>
    </row>
    <row r="685" spans="1:2" x14ac:dyDescent="0.15">
      <c r="A685" s="47">
        <v>41835</v>
      </c>
      <c r="B685" s="48">
        <v>1.7141</v>
      </c>
    </row>
    <row r="686" spans="1:2" x14ac:dyDescent="0.15">
      <c r="A686" s="47">
        <v>41836</v>
      </c>
      <c r="B686" s="48">
        <v>1.7136</v>
      </c>
    </row>
    <row r="687" spans="1:2" x14ac:dyDescent="0.15">
      <c r="A687" s="47">
        <v>41837</v>
      </c>
      <c r="B687" s="48">
        <v>1.7098</v>
      </c>
    </row>
    <row r="688" spans="1:2" x14ac:dyDescent="0.15">
      <c r="A688" s="47">
        <v>41838</v>
      </c>
      <c r="B688" s="48">
        <v>1.7085999999999999</v>
      </c>
    </row>
    <row r="689" spans="1:2" x14ac:dyDescent="0.15">
      <c r="A689" s="47">
        <v>41841</v>
      </c>
      <c r="B689" s="48">
        <v>1.7074</v>
      </c>
    </row>
    <row r="690" spans="1:2" x14ac:dyDescent="0.15">
      <c r="A690" s="47">
        <v>41842</v>
      </c>
      <c r="B690" s="48">
        <v>1.7062999999999999</v>
      </c>
    </row>
    <row r="691" spans="1:2" x14ac:dyDescent="0.15">
      <c r="A691" s="47">
        <v>41843</v>
      </c>
      <c r="B691" s="48">
        <v>1.7041999999999999</v>
      </c>
    </row>
    <row r="692" spans="1:2" x14ac:dyDescent="0.15">
      <c r="A692" s="47">
        <v>41844</v>
      </c>
      <c r="B692" s="48">
        <v>1.6983999999999999</v>
      </c>
    </row>
    <row r="693" spans="1:2" x14ac:dyDescent="0.15">
      <c r="A693" s="47">
        <v>41845</v>
      </c>
      <c r="B693" s="48">
        <v>1.6972</v>
      </c>
    </row>
    <row r="694" spans="1:2" x14ac:dyDescent="0.15">
      <c r="A694" s="47">
        <v>41848</v>
      </c>
      <c r="B694" s="48">
        <v>1.6981999999999999</v>
      </c>
    </row>
    <row r="695" spans="1:2" x14ac:dyDescent="0.15">
      <c r="A695" s="47">
        <v>41849</v>
      </c>
      <c r="B695" s="48">
        <v>1.6942999999999999</v>
      </c>
    </row>
    <row r="696" spans="1:2" x14ac:dyDescent="0.15">
      <c r="A696" s="47">
        <v>41850</v>
      </c>
      <c r="B696" s="48">
        <v>1.6913</v>
      </c>
    </row>
    <row r="697" spans="1:2" x14ac:dyDescent="0.15">
      <c r="A697" s="47">
        <v>41851</v>
      </c>
      <c r="B697" s="48">
        <v>1.6883999999999999</v>
      </c>
    </row>
    <row r="698" spans="1:2" x14ac:dyDescent="0.15">
      <c r="A698" s="47">
        <v>41852</v>
      </c>
      <c r="B698" s="48">
        <v>1.6819999999999999</v>
      </c>
    </row>
    <row r="699" spans="1:2" x14ac:dyDescent="0.15">
      <c r="A699" s="47">
        <v>41855</v>
      </c>
      <c r="B699" s="48">
        <v>1.6861999999999999</v>
      </c>
    </row>
    <row r="700" spans="1:2" x14ac:dyDescent="0.15">
      <c r="A700" s="47">
        <v>41856</v>
      </c>
      <c r="B700" s="48">
        <v>1.6883999999999999</v>
      </c>
    </row>
    <row r="701" spans="1:2" x14ac:dyDescent="0.15">
      <c r="A701" s="47">
        <v>41857</v>
      </c>
      <c r="B701" s="48">
        <v>1.6853</v>
      </c>
    </row>
    <row r="702" spans="1:2" x14ac:dyDescent="0.15">
      <c r="A702" s="47">
        <v>41858</v>
      </c>
      <c r="B702" s="48">
        <v>1.6832</v>
      </c>
    </row>
    <row r="703" spans="1:2" x14ac:dyDescent="0.15">
      <c r="A703" s="47">
        <v>41859</v>
      </c>
      <c r="B703" s="48">
        <v>1.6772</v>
      </c>
    </row>
    <row r="704" spans="1:2" x14ac:dyDescent="0.15">
      <c r="A704" s="47">
        <v>41862</v>
      </c>
      <c r="B704" s="48">
        <v>1.6786000000000001</v>
      </c>
    </row>
    <row r="705" spans="1:2" x14ac:dyDescent="0.15">
      <c r="A705" s="47">
        <v>41863</v>
      </c>
      <c r="B705" s="48">
        <v>1.6812</v>
      </c>
    </row>
    <row r="706" spans="1:2" x14ac:dyDescent="0.15">
      <c r="A706" s="47">
        <v>41864</v>
      </c>
      <c r="B706" s="48">
        <v>1.6686000000000001</v>
      </c>
    </row>
    <row r="707" spans="1:2" x14ac:dyDescent="0.15">
      <c r="A707" s="47">
        <v>41865</v>
      </c>
      <c r="B707" s="48">
        <v>1.6685000000000001</v>
      </c>
    </row>
    <row r="708" spans="1:2" x14ac:dyDescent="0.15">
      <c r="A708" s="47">
        <v>41866</v>
      </c>
      <c r="B708" s="48">
        <v>1.6694</v>
      </c>
    </row>
    <row r="709" spans="1:2" x14ac:dyDescent="0.15">
      <c r="A709" s="47">
        <v>41869</v>
      </c>
      <c r="B709" s="48">
        <v>1.6726000000000001</v>
      </c>
    </row>
    <row r="710" spans="1:2" x14ac:dyDescent="0.15">
      <c r="A710" s="47">
        <v>41870</v>
      </c>
      <c r="B710" s="48">
        <v>1.6615</v>
      </c>
    </row>
    <row r="711" spans="1:2" x14ac:dyDescent="0.15">
      <c r="A711" s="47">
        <v>41871</v>
      </c>
      <c r="B711" s="48">
        <v>1.6594</v>
      </c>
    </row>
    <row r="712" spans="1:2" x14ac:dyDescent="0.15">
      <c r="A712" s="47">
        <v>41872</v>
      </c>
      <c r="B712" s="48">
        <v>1.6577999999999999</v>
      </c>
    </row>
    <row r="713" spans="1:2" x14ac:dyDescent="0.15">
      <c r="A713" s="47">
        <v>41873</v>
      </c>
      <c r="B713" s="48">
        <v>1.6569</v>
      </c>
    </row>
    <row r="714" spans="1:2" x14ac:dyDescent="0.15">
      <c r="A714" s="47">
        <v>41876</v>
      </c>
      <c r="B714" s="48">
        <v>1.6577</v>
      </c>
    </row>
    <row r="715" spans="1:2" x14ac:dyDescent="0.15">
      <c r="A715" s="47">
        <v>41877</v>
      </c>
      <c r="B715" s="48">
        <v>1.6538999999999999</v>
      </c>
    </row>
    <row r="716" spans="1:2" x14ac:dyDescent="0.15">
      <c r="A716" s="47">
        <v>41878</v>
      </c>
      <c r="B716" s="48">
        <v>1.6575</v>
      </c>
    </row>
    <row r="717" spans="1:2" x14ac:dyDescent="0.15">
      <c r="A717" s="47">
        <v>41879</v>
      </c>
      <c r="B717" s="48">
        <v>1.6584000000000001</v>
      </c>
    </row>
    <row r="718" spans="1:2" x14ac:dyDescent="0.15">
      <c r="A718" s="47">
        <v>41880</v>
      </c>
      <c r="B718" s="48">
        <v>1.6597</v>
      </c>
    </row>
    <row r="719" spans="1:2" x14ac:dyDescent="0.15">
      <c r="A719" s="47">
        <v>41883</v>
      </c>
      <c r="B719" s="48">
        <v>1.6607000000000001</v>
      </c>
    </row>
    <row r="720" spans="1:2" x14ac:dyDescent="0.15">
      <c r="A720" s="47">
        <v>41884</v>
      </c>
      <c r="B720" s="48">
        <v>1.6469</v>
      </c>
    </row>
    <row r="721" spans="1:2" x14ac:dyDescent="0.15">
      <c r="A721" s="47">
        <v>41885</v>
      </c>
      <c r="B721" s="48">
        <v>1.6460999999999999</v>
      </c>
    </row>
    <row r="722" spans="1:2" x14ac:dyDescent="0.15">
      <c r="A722" s="47">
        <v>41886</v>
      </c>
      <c r="B722" s="48">
        <v>1.633</v>
      </c>
    </row>
    <row r="723" spans="1:2" x14ac:dyDescent="0.15">
      <c r="A723" s="47">
        <v>41887</v>
      </c>
      <c r="B723" s="48">
        <v>1.6325000000000001</v>
      </c>
    </row>
    <row r="724" spans="1:2" x14ac:dyDescent="0.15">
      <c r="A724" s="47">
        <v>41890</v>
      </c>
      <c r="B724" s="48">
        <v>1.6104000000000001</v>
      </c>
    </row>
    <row r="725" spans="1:2" x14ac:dyDescent="0.15">
      <c r="A725" s="47">
        <v>41891</v>
      </c>
      <c r="B725" s="48">
        <v>1.6105</v>
      </c>
    </row>
    <row r="726" spans="1:2" x14ac:dyDescent="0.15">
      <c r="A726" s="47">
        <v>41892</v>
      </c>
      <c r="B726" s="48">
        <v>1.6211</v>
      </c>
    </row>
    <row r="727" spans="1:2" x14ac:dyDescent="0.15">
      <c r="A727" s="47">
        <v>41893</v>
      </c>
      <c r="B727" s="48">
        <v>1.6254</v>
      </c>
    </row>
    <row r="728" spans="1:2" x14ac:dyDescent="0.15">
      <c r="A728" s="47">
        <v>41894</v>
      </c>
      <c r="B728" s="48">
        <v>1.6266</v>
      </c>
    </row>
    <row r="729" spans="1:2" x14ac:dyDescent="0.15">
      <c r="A729" s="47">
        <v>41897</v>
      </c>
      <c r="B729" s="48">
        <v>1.6231</v>
      </c>
    </row>
    <row r="730" spans="1:2" x14ac:dyDescent="0.15">
      <c r="A730" s="47">
        <v>41898</v>
      </c>
      <c r="B730" s="48">
        <v>1.6274999999999999</v>
      </c>
    </row>
    <row r="731" spans="1:2" x14ac:dyDescent="0.15">
      <c r="A731" s="47">
        <v>41899</v>
      </c>
      <c r="B731" s="48">
        <v>1.6273</v>
      </c>
    </row>
    <row r="732" spans="1:2" x14ac:dyDescent="0.15">
      <c r="A732" s="47">
        <v>41900</v>
      </c>
      <c r="B732" s="48">
        <v>1.64</v>
      </c>
    </row>
    <row r="733" spans="1:2" x14ac:dyDescent="0.15">
      <c r="A733" s="47">
        <v>41901</v>
      </c>
      <c r="B733" s="48">
        <v>1.6286</v>
      </c>
    </row>
    <row r="734" spans="1:2" x14ac:dyDescent="0.15">
      <c r="A734" s="47">
        <v>41904</v>
      </c>
      <c r="B734" s="48">
        <v>1.6359999999999999</v>
      </c>
    </row>
    <row r="735" spans="1:2" x14ac:dyDescent="0.15">
      <c r="A735" s="47">
        <v>41905</v>
      </c>
      <c r="B735" s="48">
        <v>1.6386000000000001</v>
      </c>
    </row>
    <row r="736" spans="1:2" x14ac:dyDescent="0.15">
      <c r="A736" s="47">
        <v>41906</v>
      </c>
      <c r="B736" s="48">
        <v>1.6337999999999999</v>
      </c>
    </row>
    <row r="737" spans="1:2" x14ac:dyDescent="0.15">
      <c r="A737" s="47">
        <v>41907</v>
      </c>
      <c r="B737" s="48">
        <v>1.6315</v>
      </c>
    </row>
    <row r="738" spans="1:2" x14ac:dyDescent="0.15">
      <c r="A738" s="47">
        <v>41908</v>
      </c>
      <c r="B738" s="48">
        <v>1.6245000000000001</v>
      </c>
    </row>
    <row r="739" spans="1:2" x14ac:dyDescent="0.15">
      <c r="A739" s="47">
        <v>41911</v>
      </c>
      <c r="B739" s="48">
        <v>1.6240000000000001</v>
      </c>
    </row>
    <row r="740" spans="1:2" x14ac:dyDescent="0.15">
      <c r="A740" s="47">
        <v>41912</v>
      </c>
      <c r="B740" s="48">
        <v>1.6212</v>
      </c>
    </row>
    <row r="741" spans="1:2" x14ac:dyDescent="0.15">
      <c r="A741" s="47">
        <v>41913</v>
      </c>
      <c r="B741" s="48">
        <v>1.6184000000000001</v>
      </c>
    </row>
    <row r="742" spans="1:2" x14ac:dyDescent="0.15">
      <c r="A742" s="47">
        <v>41914</v>
      </c>
      <c r="B742" s="48">
        <v>1.6142000000000001</v>
      </c>
    </row>
    <row r="743" spans="1:2" x14ac:dyDescent="0.15">
      <c r="A743" s="47">
        <v>41915</v>
      </c>
      <c r="B743" s="48">
        <v>1.5962000000000001</v>
      </c>
    </row>
    <row r="744" spans="1:2" x14ac:dyDescent="0.15">
      <c r="A744" s="47">
        <v>41918</v>
      </c>
      <c r="B744" s="48">
        <v>1.6082000000000001</v>
      </c>
    </row>
    <row r="745" spans="1:2" x14ac:dyDescent="0.15">
      <c r="A745" s="47">
        <v>41919</v>
      </c>
      <c r="B745" s="48">
        <v>1.6093</v>
      </c>
    </row>
    <row r="746" spans="1:2" x14ac:dyDescent="0.15">
      <c r="A746" s="47">
        <v>41920</v>
      </c>
      <c r="B746" s="48">
        <v>1.6167</v>
      </c>
    </row>
    <row r="747" spans="1:2" x14ac:dyDescent="0.15">
      <c r="A747" s="47">
        <v>41921</v>
      </c>
      <c r="B747" s="48">
        <v>1.6117999999999999</v>
      </c>
    </row>
    <row r="748" spans="1:2" x14ac:dyDescent="0.15">
      <c r="A748" s="47">
        <v>41922</v>
      </c>
      <c r="B748" s="48">
        <v>1.6074999999999999</v>
      </c>
    </row>
    <row r="749" spans="1:2" x14ac:dyDescent="0.15">
      <c r="A749" s="47">
        <v>41925</v>
      </c>
      <c r="B749" s="48">
        <v>1.6083000000000001</v>
      </c>
    </row>
    <row r="750" spans="1:2" x14ac:dyDescent="0.15">
      <c r="A750" s="47">
        <v>41926</v>
      </c>
      <c r="B750" s="48">
        <v>1.5903</v>
      </c>
    </row>
    <row r="751" spans="1:2" x14ac:dyDescent="0.15">
      <c r="A751" s="47">
        <v>41927</v>
      </c>
      <c r="B751" s="48">
        <v>1.6019000000000001</v>
      </c>
    </row>
    <row r="752" spans="1:2" x14ac:dyDescent="0.15">
      <c r="A752" s="47">
        <v>41928</v>
      </c>
      <c r="B752" s="48">
        <v>1.6087</v>
      </c>
    </row>
    <row r="753" spans="1:2" x14ac:dyDescent="0.15">
      <c r="A753" s="47">
        <v>41929</v>
      </c>
      <c r="B753" s="48">
        <v>1.6092</v>
      </c>
    </row>
    <row r="754" spans="1:2" x14ac:dyDescent="0.15">
      <c r="A754" s="47">
        <v>41932</v>
      </c>
      <c r="B754" s="48">
        <v>1.6162000000000001</v>
      </c>
    </row>
    <row r="755" spans="1:2" x14ac:dyDescent="0.15">
      <c r="A755" s="47">
        <v>41933</v>
      </c>
      <c r="B755" s="48">
        <v>1.6109</v>
      </c>
    </row>
    <row r="756" spans="1:2" x14ac:dyDescent="0.15">
      <c r="A756" s="47">
        <v>41934</v>
      </c>
      <c r="B756" s="48">
        <v>1.605</v>
      </c>
    </row>
    <row r="757" spans="1:2" x14ac:dyDescent="0.15">
      <c r="A757" s="47">
        <v>41935</v>
      </c>
      <c r="B757" s="48">
        <v>1.6028</v>
      </c>
    </row>
    <row r="758" spans="1:2" x14ac:dyDescent="0.15">
      <c r="A758" s="47">
        <v>41936</v>
      </c>
      <c r="B758" s="48">
        <v>1.6088</v>
      </c>
    </row>
    <row r="759" spans="1:2" x14ac:dyDescent="0.15">
      <c r="A759" s="47">
        <v>41939</v>
      </c>
      <c r="B759" s="48">
        <v>1.6120000000000001</v>
      </c>
    </row>
    <row r="760" spans="1:2" x14ac:dyDescent="0.15">
      <c r="A760" s="47">
        <v>41940</v>
      </c>
      <c r="B760" s="48">
        <v>1.613</v>
      </c>
    </row>
    <row r="761" spans="1:2" x14ac:dyDescent="0.15">
      <c r="A761" s="47">
        <v>41941</v>
      </c>
      <c r="B761" s="48">
        <v>1.6009</v>
      </c>
    </row>
    <row r="762" spans="1:2" x14ac:dyDescent="0.15">
      <c r="A762" s="47">
        <v>41942</v>
      </c>
      <c r="B762" s="48">
        <v>1.5998000000000001</v>
      </c>
    </row>
    <row r="763" spans="1:2" x14ac:dyDescent="0.15">
      <c r="A763" s="47">
        <v>41943</v>
      </c>
      <c r="B763" s="48">
        <v>1.5994999999999999</v>
      </c>
    </row>
    <row r="764" spans="1:2" x14ac:dyDescent="0.15">
      <c r="A764" s="47">
        <v>41946</v>
      </c>
      <c r="B764" s="48">
        <v>1.597</v>
      </c>
    </row>
    <row r="765" spans="1:2" x14ac:dyDescent="0.15">
      <c r="A765" s="47">
        <v>41947</v>
      </c>
      <c r="B765" s="48">
        <v>1.6002000000000001</v>
      </c>
    </row>
    <row r="766" spans="1:2" x14ac:dyDescent="0.15">
      <c r="A766" s="47">
        <v>41948</v>
      </c>
      <c r="B766" s="48">
        <v>1.5973999999999999</v>
      </c>
    </row>
    <row r="767" spans="1:2" x14ac:dyDescent="0.15">
      <c r="A767" s="47">
        <v>41949</v>
      </c>
      <c r="B767" s="48">
        <v>1.5829</v>
      </c>
    </row>
    <row r="768" spans="1:2" x14ac:dyDescent="0.15">
      <c r="A768" s="47">
        <v>41950</v>
      </c>
      <c r="B768" s="48">
        <v>1.5871</v>
      </c>
    </row>
    <row r="769" spans="1:2" x14ac:dyDescent="0.15">
      <c r="A769" s="47">
        <v>41953</v>
      </c>
      <c r="B769" s="48">
        <v>1.5840000000000001</v>
      </c>
    </row>
    <row r="770" spans="1:2" x14ac:dyDescent="0.15">
      <c r="A770" s="47">
        <v>41954</v>
      </c>
      <c r="B770" s="48">
        <v>1.5918000000000001</v>
      </c>
    </row>
    <row r="771" spans="1:2" x14ac:dyDescent="0.15">
      <c r="A771" s="47">
        <v>41955</v>
      </c>
      <c r="B771" s="48">
        <v>1.5779000000000001</v>
      </c>
    </row>
    <row r="772" spans="1:2" x14ac:dyDescent="0.15">
      <c r="A772" s="47">
        <v>41956</v>
      </c>
      <c r="B772" s="48">
        <v>1.5709</v>
      </c>
    </row>
    <row r="773" spans="1:2" x14ac:dyDescent="0.15">
      <c r="A773" s="47">
        <v>41957</v>
      </c>
      <c r="B773" s="48">
        <v>1.5667</v>
      </c>
    </row>
    <row r="774" spans="1:2" x14ac:dyDescent="0.15">
      <c r="A774" s="47">
        <v>41960</v>
      </c>
      <c r="B774" s="48">
        <v>1.5640000000000001</v>
      </c>
    </row>
    <row r="775" spans="1:2" x14ac:dyDescent="0.15">
      <c r="A775" s="47">
        <v>41961</v>
      </c>
      <c r="B775" s="48">
        <v>1.5630999999999999</v>
      </c>
    </row>
    <row r="776" spans="1:2" x14ac:dyDescent="0.15">
      <c r="A776" s="47">
        <v>41962</v>
      </c>
      <c r="B776" s="48">
        <v>1.5681</v>
      </c>
    </row>
    <row r="777" spans="1:2" x14ac:dyDescent="0.15">
      <c r="A777" s="47">
        <v>41963</v>
      </c>
      <c r="B777" s="48">
        <v>1.5692999999999999</v>
      </c>
    </row>
    <row r="778" spans="1:2" x14ac:dyDescent="0.15">
      <c r="A778" s="47">
        <v>41964</v>
      </c>
      <c r="B778" s="48">
        <v>1.5652999999999999</v>
      </c>
    </row>
    <row r="779" spans="1:2" x14ac:dyDescent="0.15">
      <c r="A779" s="47">
        <v>41967</v>
      </c>
      <c r="B779" s="48">
        <v>1.5705</v>
      </c>
    </row>
    <row r="780" spans="1:2" x14ac:dyDescent="0.15">
      <c r="A780" s="47">
        <v>41968</v>
      </c>
      <c r="B780" s="48">
        <v>1.5707</v>
      </c>
    </row>
    <row r="781" spans="1:2" x14ac:dyDescent="0.15">
      <c r="A781" s="47">
        <v>41969</v>
      </c>
      <c r="B781" s="48">
        <v>1.579</v>
      </c>
    </row>
    <row r="782" spans="1:2" x14ac:dyDescent="0.15">
      <c r="A782" s="47">
        <v>41970</v>
      </c>
      <c r="B782" s="48">
        <v>1.5732999999999999</v>
      </c>
    </row>
    <row r="783" spans="1:2" x14ac:dyDescent="0.15">
      <c r="A783" s="47">
        <v>41971</v>
      </c>
      <c r="B783" s="48">
        <v>1.5646</v>
      </c>
    </row>
    <row r="784" spans="1:2" x14ac:dyDescent="0.15">
      <c r="A784" s="47">
        <v>41974</v>
      </c>
      <c r="B784" s="48">
        <v>1.5728</v>
      </c>
    </row>
    <row r="785" spans="1:2" x14ac:dyDescent="0.15">
      <c r="A785" s="47">
        <v>41975</v>
      </c>
      <c r="B785" s="48">
        <v>1.5634999999999999</v>
      </c>
    </row>
    <row r="786" spans="1:2" x14ac:dyDescent="0.15">
      <c r="A786" s="47">
        <v>41976</v>
      </c>
      <c r="B786" s="48">
        <v>1.5685</v>
      </c>
    </row>
    <row r="787" spans="1:2" x14ac:dyDescent="0.15">
      <c r="A787" s="47">
        <v>41977</v>
      </c>
      <c r="B787" s="48">
        <v>1.5671999999999999</v>
      </c>
    </row>
    <row r="788" spans="1:2" x14ac:dyDescent="0.15">
      <c r="A788" s="47">
        <v>41978</v>
      </c>
      <c r="B788" s="48">
        <v>1.5581</v>
      </c>
    </row>
    <row r="789" spans="1:2" x14ac:dyDescent="0.15">
      <c r="A789" s="47">
        <v>41981</v>
      </c>
      <c r="B789" s="48">
        <v>1.5649999999999999</v>
      </c>
    </row>
    <row r="790" spans="1:2" x14ac:dyDescent="0.15">
      <c r="A790" s="47">
        <v>41982</v>
      </c>
      <c r="B790" s="48">
        <v>1.5669</v>
      </c>
    </row>
    <row r="791" spans="1:2" x14ac:dyDescent="0.15">
      <c r="A791" s="47">
        <v>41983</v>
      </c>
      <c r="B791" s="48">
        <v>1.5712999999999999</v>
      </c>
    </row>
    <row r="792" spans="1:2" x14ac:dyDescent="0.15">
      <c r="A792" s="47">
        <v>41984</v>
      </c>
      <c r="B792" s="48">
        <v>1.5730999999999999</v>
      </c>
    </row>
    <row r="793" spans="1:2" x14ac:dyDescent="0.15">
      <c r="A793" s="47">
        <v>41985</v>
      </c>
      <c r="B793" s="48">
        <v>1.5718000000000001</v>
      </c>
    </row>
    <row r="794" spans="1:2" x14ac:dyDescent="0.15">
      <c r="A794" s="47">
        <v>41988</v>
      </c>
      <c r="B794" s="48">
        <v>1.5637000000000001</v>
      </c>
    </row>
    <row r="795" spans="1:2" x14ac:dyDescent="0.15">
      <c r="A795" s="47">
        <v>41989</v>
      </c>
      <c r="B795" s="48">
        <v>1.5747</v>
      </c>
    </row>
    <row r="796" spans="1:2" x14ac:dyDescent="0.15">
      <c r="A796" s="47">
        <v>41990</v>
      </c>
      <c r="B796" s="48">
        <v>1.5573999999999999</v>
      </c>
    </row>
    <row r="797" spans="1:2" x14ac:dyDescent="0.15">
      <c r="A797" s="47">
        <v>41991</v>
      </c>
      <c r="B797" s="48">
        <v>1.5668</v>
      </c>
    </row>
    <row r="798" spans="1:2" x14ac:dyDescent="0.15">
      <c r="A798" s="47">
        <v>41992</v>
      </c>
      <c r="B798" s="48">
        <v>1.5629</v>
      </c>
    </row>
    <row r="799" spans="1:2" x14ac:dyDescent="0.15">
      <c r="A799" s="47">
        <v>41995</v>
      </c>
      <c r="B799" s="48">
        <v>1.5588</v>
      </c>
    </row>
    <row r="800" spans="1:2" x14ac:dyDescent="0.15">
      <c r="A800" s="47">
        <v>41996</v>
      </c>
      <c r="B800" s="48">
        <v>1.552</v>
      </c>
    </row>
    <row r="801" spans="1:2" x14ac:dyDescent="0.15">
      <c r="A801" s="47">
        <v>41997</v>
      </c>
      <c r="B801" s="48">
        <v>1.5558000000000001</v>
      </c>
    </row>
    <row r="802" spans="1:2" x14ac:dyDescent="0.15">
      <c r="A802" s="47">
        <v>41998</v>
      </c>
      <c r="B802" s="48">
        <v>1.5537000000000001</v>
      </c>
    </row>
    <row r="803" spans="1:2" x14ac:dyDescent="0.15">
      <c r="A803" s="47">
        <v>41999</v>
      </c>
      <c r="B803" s="48">
        <v>1.5553999999999999</v>
      </c>
    </row>
    <row r="804" spans="1:2" x14ac:dyDescent="0.15">
      <c r="A804" s="47">
        <v>42002</v>
      </c>
      <c r="B804" s="48">
        <v>1.5511999999999999</v>
      </c>
    </row>
    <row r="805" spans="1:2" x14ac:dyDescent="0.15">
      <c r="A805" s="47">
        <v>42003</v>
      </c>
      <c r="B805" s="48">
        <v>1.5557000000000001</v>
      </c>
    </row>
    <row r="806" spans="1:2" x14ac:dyDescent="0.15">
      <c r="A806" s="47">
        <v>42004</v>
      </c>
      <c r="B806" s="48">
        <v>1.5572999999999999</v>
      </c>
    </row>
    <row r="807" spans="1:2" x14ac:dyDescent="0.15">
      <c r="A807" s="47">
        <v>42005</v>
      </c>
      <c r="B807" s="48">
        <v>1.5544</v>
      </c>
    </row>
    <row r="808" spans="1:2" x14ac:dyDescent="0.15">
      <c r="A808" s="47">
        <v>42006</v>
      </c>
      <c r="B808" s="48">
        <v>1.5325</v>
      </c>
    </row>
    <row r="809" spans="1:2" x14ac:dyDescent="0.15">
      <c r="A809" s="47">
        <v>42009</v>
      </c>
      <c r="B809" s="48">
        <v>1.5247999999999999</v>
      </c>
    </row>
    <row r="810" spans="1:2" x14ac:dyDescent="0.15">
      <c r="A810" s="47">
        <v>42010</v>
      </c>
      <c r="B810" s="48">
        <v>1.5149999999999999</v>
      </c>
    </row>
    <row r="811" spans="1:2" x14ac:dyDescent="0.15">
      <c r="A811" s="47">
        <v>42011</v>
      </c>
      <c r="B811" s="48">
        <v>1.5108999999999999</v>
      </c>
    </row>
    <row r="812" spans="1:2" x14ac:dyDescent="0.15">
      <c r="A812" s="47">
        <v>42012</v>
      </c>
      <c r="B812" s="48">
        <v>1.5086999999999999</v>
      </c>
    </row>
    <row r="813" spans="1:2" x14ac:dyDescent="0.15">
      <c r="A813" s="47">
        <v>42013</v>
      </c>
      <c r="B813" s="48">
        <v>1.5158</v>
      </c>
    </row>
    <row r="814" spans="1:2" x14ac:dyDescent="0.15">
      <c r="A814" s="47">
        <v>42016</v>
      </c>
      <c r="B814" s="48">
        <v>1.5169999999999999</v>
      </c>
    </row>
    <row r="815" spans="1:2" x14ac:dyDescent="0.15">
      <c r="A815" s="47">
        <v>42017</v>
      </c>
      <c r="B815" s="48">
        <v>1.5158</v>
      </c>
    </row>
    <row r="816" spans="1:2" x14ac:dyDescent="0.15">
      <c r="A816" s="47">
        <v>42018</v>
      </c>
      <c r="B816" s="48">
        <v>1.5232000000000001</v>
      </c>
    </row>
    <row r="817" spans="1:2" x14ac:dyDescent="0.15">
      <c r="A817" s="47">
        <v>42019</v>
      </c>
      <c r="B817" s="48">
        <v>1.5181</v>
      </c>
    </row>
    <row r="818" spans="1:2" x14ac:dyDescent="0.15">
      <c r="A818" s="47">
        <v>42020</v>
      </c>
      <c r="B818" s="48">
        <v>1.5147999999999999</v>
      </c>
    </row>
    <row r="819" spans="1:2" x14ac:dyDescent="0.15">
      <c r="A819" s="47">
        <v>42023</v>
      </c>
      <c r="B819" s="48">
        <v>1.5109999999999999</v>
      </c>
    </row>
    <row r="820" spans="1:2" x14ac:dyDescent="0.15">
      <c r="A820" s="47">
        <v>42024</v>
      </c>
      <c r="B820" s="48">
        <v>1.5143</v>
      </c>
    </row>
    <row r="821" spans="1:2" x14ac:dyDescent="0.15">
      <c r="A821" s="47">
        <v>42025</v>
      </c>
      <c r="B821" s="48">
        <v>1.5142</v>
      </c>
    </row>
    <row r="822" spans="1:2" x14ac:dyDescent="0.15">
      <c r="A822" s="47">
        <v>42026</v>
      </c>
      <c r="B822" s="48">
        <v>1.5007999999999999</v>
      </c>
    </row>
    <row r="823" spans="1:2" x14ac:dyDescent="0.15">
      <c r="A823" s="47">
        <v>42027</v>
      </c>
      <c r="B823" s="48">
        <v>1.4986999999999999</v>
      </c>
    </row>
    <row r="824" spans="1:2" x14ac:dyDescent="0.15">
      <c r="A824" s="47">
        <v>42030</v>
      </c>
      <c r="B824" s="48">
        <v>1.5078</v>
      </c>
    </row>
    <row r="825" spans="1:2" x14ac:dyDescent="0.15">
      <c r="A825" s="47">
        <v>42031</v>
      </c>
      <c r="B825" s="48">
        <v>1.5196000000000001</v>
      </c>
    </row>
    <row r="826" spans="1:2" x14ac:dyDescent="0.15">
      <c r="A826" s="47">
        <v>42032</v>
      </c>
      <c r="B826" s="48">
        <v>1.5133000000000001</v>
      </c>
    </row>
    <row r="827" spans="1:2" x14ac:dyDescent="0.15">
      <c r="A827" s="47">
        <v>42033</v>
      </c>
      <c r="B827" s="48">
        <v>1.5065</v>
      </c>
    </row>
    <row r="828" spans="1:2" x14ac:dyDescent="0.15">
      <c r="A828" s="47">
        <v>42034</v>
      </c>
      <c r="B828" s="48">
        <v>1.5065999999999999</v>
      </c>
    </row>
    <row r="829" spans="1:2" x14ac:dyDescent="0.15">
      <c r="A829" s="47">
        <v>42037</v>
      </c>
      <c r="B829" s="48">
        <v>1.5038</v>
      </c>
    </row>
    <row r="830" spans="1:2" x14ac:dyDescent="0.15">
      <c r="A830" s="47">
        <v>42038</v>
      </c>
      <c r="B830" s="48">
        <v>1.5165999999999999</v>
      </c>
    </row>
    <row r="831" spans="1:2" x14ac:dyDescent="0.15">
      <c r="A831" s="47">
        <v>42039</v>
      </c>
      <c r="B831" s="48">
        <v>1.5181</v>
      </c>
    </row>
    <row r="832" spans="1:2" x14ac:dyDescent="0.15">
      <c r="A832" s="47">
        <v>42040</v>
      </c>
      <c r="B832" s="48">
        <v>1.5324</v>
      </c>
    </row>
    <row r="833" spans="1:2" x14ac:dyDescent="0.15">
      <c r="A833" s="47">
        <v>42041</v>
      </c>
      <c r="B833" s="48">
        <v>1.5243</v>
      </c>
    </row>
    <row r="834" spans="1:2" x14ac:dyDescent="0.15">
      <c r="A834" s="47">
        <v>42044</v>
      </c>
      <c r="B834" s="48">
        <v>1.5209999999999999</v>
      </c>
    </row>
    <row r="835" spans="1:2" x14ac:dyDescent="0.15">
      <c r="A835" s="47">
        <v>42045</v>
      </c>
      <c r="B835" s="48">
        <v>1.5251999999999999</v>
      </c>
    </row>
    <row r="836" spans="1:2" x14ac:dyDescent="0.15">
      <c r="A836" s="47">
        <v>42046</v>
      </c>
      <c r="B836" s="48">
        <v>1.5236000000000001</v>
      </c>
    </row>
    <row r="837" spans="1:2" x14ac:dyDescent="0.15">
      <c r="A837" s="47">
        <v>42047</v>
      </c>
      <c r="B837" s="48">
        <v>1.5382</v>
      </c>
    </row>
    <row r="838" spans="1:2" x14ac:dyDescent="0.15">
      <c r="A838" s="47">
        <v>42048</v>
      </c>
      <c r="B838" s="48">
        <v>1.5397000000000001</v>
      </c>
    </row>
    <row r="839" spans="1:2" x14ac:dyDescent="0.15">
      <c r="A839" s="47">
        <v>42051</v>
      </c>
      <c r="B839" s="48">
        <v>1.5357000000000001</v>
      </c>
    </row>
    <row r="840" spans="1:2" x14ac:dyDescent="0.15">
      <c r="A840" s="47">
        <v>42052</v>
      </c>
      <c r="B840" s="48">
        <v>1.5351999999999999</v>
      </c>
    </row>
    <row r="841" spans="1:2" x14ac:dyDescent="0.15">
      <c r="A841" s="47">
        <v>42053</v>
      </c>
      <c r="B841" s="48">
        <v>1.5429999999999999</v>
      </c>
    </row>
    <row r="842" spans="1:2" x14ac:dyDescent="0.15">
      <c r="A842" s="47">
        <v>42054</v>
      </c>
      <c r="B842" s="48">
        <v>1.5411999999999999</v>
      </c>
    </row>
    <row r="843" spans="1:2" x14ac:dyDescent="0.15">
      <c r="A843" s="47">
        <v>42055</v>
      </c>
      <c r="B843" s="48">
        <v>1.5398000000000001</v>
      </c>
    </row>
    <row r="844" spans="1:2" x14ac:dyDescent="0.15">
      <c r="A844" s="47">
        <v>42058</v>
      </c>
      <c r="B844" s="48">
        <v>1.5451999999999999</v>
      </c>
    </row>
    <row r="845" spans="1:2" x14ac:dyDescent="0.15">
      <c r="A845" s="47">
        <v>42059</v>
      </c>
      <c r="B845" s="48">
        <v>1.5452999999999999</v>
      </c>
    </row>
    <row r="846" spans="1:2" x14ac:dyDescent="0.15">
      <c r="A846" s="47">
        <v>42060</v>
      </c>
      <c r="B846" s="48">
        <v>1.5527</v>
      </c>
    </row>
    <row r="847" spans="1:2" x14ac:dyDescent="0.15">
      <c r="A847" s="47">
        <v>42061</v>
      </c>
      <c r="B847" s="48">
        <v>1.5405</v>
      </c>
    </row>
    <row r="848" spans="1:2" x14ac:dyDescent="0.15">
      <c r="A848" s="47">
        <v>42062</v>
      </c>
      <c r="B848" s="48">
        <v>1.5431999999999999</v>
      </c>
    </row>
    <row r="849" spans="1:2" x14ac:dyDescent="0.15">
      <c r="A849" s="47">
        <v>42065</v>
      </c>
      <c r="B849" s="48">
        <v>1.5362</v>
      </c>
    </row>
    <row r="850" spans="1:2" x14ac:dyDescent="0.15">
      <c r="A850" s="47">
        <v>42066</v>
      </c>
      <c r="B850" s="48">
        <v>1.5359</v>
      </c>
    </row>
    <row r="851" spans="1:2" x14ac:dyDescent="0.15">
      <c r="A851" s="47">
        <v>42067</v>
      </c>
      <c r="B851" s="48">
        <v>1.5263</v>
      </c>
    </row>
    <row r="852" spans="1:2" x14ac:dyDescent="0.15">
      <c r="A852" s="47">
        <v>42068</v>
      </c>
      <c r="B852" s="48">
        <v>1.524</v>
      </c>
    </row>
    <row r="853" spans="1:2" x14ac:dyDescent="0.15">
      <c r="A853" s="47">
        <v>42069</v>
      </c>
      <c r="B853" s="48">
        <v>1.5035000000000001</v>
      </c>
    </row>
    <row r="854" spans="1:2" x14ac:dyDescent="0.15">
      <c r="A854" s="47">
        <v>42072</v>
      </c>
      <c r="B854" s="48">
        <v>1.5127999999999999</v>
      </c>
    </row>
    <row r="855" spans="1:2" x14ac:dyDescent="0.15">
      <c r="A855" s="47">
        <v>42073</v>
      </c>
      <c r="B855" s="48">
        <v>1.5065999999999999</v>
      </c>
    </row>
    <row r="856" spans="1:2" x14ac:dyDescent="0.15">
      <c r="A856" s="47">
        <v>42074</v>
      </c>
      <c r="B856" s="48">
        <v>1.4924999999999999</v>
      </c>
    </row>
    <row r="857" spans="1:2" x14ac:dyDescent="0.15">
      <c r="A857" s="47">
        <v>42075</v>
      </c>
      <c r="B857" s="48">
        <v>1.4881</v>
      </c>
    </row>
    <row r="858" spans="1:2" x14ac:dyDescent="0.15">
      <c r="A858" s="47">
        <v>42076</v>
      </c>
      <c r="B858" s="48">
        <v>1.4742999999999999</v>
      </c>
    </row>
    <row r="859" spans="1:2" x14ac:dyDescent="0.15">
      <c r="A859" s="47">
        <v>42079</v>
      </c>
      <c r="B859" s="48">
        <v>1.4825999999999999</v>
      </c>
    </row>
    <row r="860" spans="1:2" x14ac:dyDescent="0.15">
      <c r="A860" s="47">
        <v>42080</v>
      </c>
      <c r="B860" s="48">
        <v>1.4743999999999999</v>
      </c>
    </row>
    <row r="861" spans="1:2" x14ac:dyDescent="0.15">
      <c r="A861" s="47">
        <v>42081</v>
      </c>
      <c r="B861" s="48">
        <v>1.4976</v>
      </c>
    </row>
    <row r="862" spans="1:2" x14ac:dyDescent="0.15">
      <c r="A862" s="47">
        <v>42082</v>
      </c>
      <c r="B862" s="48">
        <v>1.4746999999999999</v>
      </c>
    </row>
    <row r="863" spans="1:2" x14ac:dyDescent="0.15">
      <c r="A863" s="47">
        <v>42083</v>
      </c>
      <c r="B863" s="48">
        <v>1.4948999999999999</v>
      </c>
    </row>
    <row r="864" spans="1:2" x14ac:dyDescent="0.15">
      <c r="A864" s="47">
        <v>42086</v>
      </c>
      <c r="B864" s="48">
        <v>1.4950000000000001</v>
      </c>
    </row>
    <row r="865" spans="1:2" x14ac:dyDescent="0.15">
      <c r="A865" s="47">
        <v>42087</v>
      </c>
      <c r="B865" s="48">
        <v>1.4849000000000001</v>
      </c>
    </row>
    <row r="866" spans="1:2" x14ac:dyDescent="0.15">
      <c r="A866" s="47">
        <v>42088</v>
      </c>
      <c r="B866" s="48">
        <v>1.4878</v>
      </c>
    </row>
    <row r="867" spans="1:2" x14ac:dyDescent="0.15">
      <c r="A867" s="47">
        <v>42089</v>
      </c>
      <c r="B867" s="48">
        <v>1.4847999999999999</v>
      </c>
    </row>
    <row r="868" spans="1:2" x14ac:dyDescent="0.15">
      <c r="A868" s="47">
        <v>42090</v>
      </c>
      <c r="B868" s="48">
        <v>1.4875</v>
      </c>
    </row>
    <row r="869" spans="1:2" x14ac:dyDescent="0.15">
      <c r="A869" s="47">
        <v>42093</v>
      </c>
      <c r="B869" s="48">
        <v>1.4807999999999999</v>
      </c>
    </row>
    <row r="870" spans="1:2" x14ac:dyDescent="0.15">
      <c r="A870" s="47">
        <v>42094</v>
      </c>
      <c r="B870" s="48">
        <v>1.4816</v>
      </c>
    </row>
    <row r="871" spans="1:2" x14ac:dyDescent="0.15">
      <c r="A871" s="47">
        <v>42095</v>
      </c>
      <c r="B871" s="48">
        <v>1.4821</v>
      </c>
    </row>
    <row r="872" spans="1:2" x14ac:dyDescent="0.15">
      <c r="A872" s="47">
        <v>42096</v>
      </c>
      <c r="B872" s="48">
        <v>1.4823999999999999</v>
      </c>
    </row>
    <row r="873" spans="1:2" x14ac:dyDescent="0.15">
      <c r="A873" s="47">
        <v>42097</v>
      </c>
      <c r="B873" s="48">
        <v>1.4919</v>
      </c>
    </row>
    <row r="874" spans="1:2" x14ac:dyDescent="0.15">
      <c r="A874" s="47">
        <v>42100</v>
      </c>
      <c r="B874" s="48">
        <v>1.4878</v>
      </c>
    </row>
    <row r="875" spans="1:2" x14ac:dyDescent="0.15">
      <c r="A875" s="47">
        <v>42101</v>
      </c>
      <c r="B875" s="48">
        <v>1.4804999999999999</v>
      </c>
    </row>
    <row r="876" spans="1:2" x14ac:dyDescent="0.15">
      <c r="A876" s="47">
        <v>42102</v>
      </c>
      <c r="B876" s="48">
        <v>1.4863999999999999</v>
      </c>
    </row>
    <row r="877" spans="1:2" x14ac:dyDescent="0.15">
      <c r="A877" s="47">
        <v>42103</v>
      </c>
      <c r="B877" s="48">
        <v>1.4712000000000001</v>
      </c>
    </row>
    <row r="878" spans="1:2" x14ac:dyDescent="0.15">
      <c r="A878" s="47">
        <v>42104</v>
      </c>
      <c r="B878" s="48">
        <v>1.4629000000000001</v>
      </c>
    </row>
    <row r="879" spans="1:2" x14ac:dyDescent="0.15">
      <c r="A879" s="47">
        <v>42107</v>
      </c>
      <c r="B879" s="48">
        <v>1.4670000000000001</v>
      </c>
    </row>
    <row r="880" spans="1:2" x14ac:dyDescent="0.15">
      <c r="A880" s="47">
        <v>42108</v>
      </c>
      <c r="B880" s="48">
        <v>1.4776</v>
      </c>
    </row>
    <row r="881" spans="1:2" x14ac:dyDescent="0.15">
      <c r="A881" s="47">
        <v>42109</v>
      </c>
      <c r="B881" s="48">
        <v>1.4837</v>
      </c>
    </row>
    <row r="882" spans="1:2" x14ac:dyDescent="0.15">
      <c r="A882" s="47">
        <v>42110</v>
      </c>
      <c r="B882" s="48">
        <v>1.4933000000000001</v>
      </c>
    </row>
    <row r="883" spans="1:2" x14ac:dyDescent="0.15">
      <c r="A883" s="47">
        <v>42111</v>
      </c>
      <c r="B883" s="48">
        <v>1.4959</v>
      </c>
    </row>
    <row r="884" spans="1:2" x14ac:dyDescent="0.15">
      <c r="A884" s="47">
        <v>42114</v>
      </c>
      <c r="B884" s="48">
        <v>1.4903</v>
      </c>
    </row>
    <row r="885" spans="1:2" x14ac:dyDescent="0.15">
      <c r="A885" s="47">
        <v>42115</v>
      </c>
      <c r="B885" s="48">
        <v>1.4921</v>
      </c>
    </row>
    <row r="886" spans="1:2" x14ac:dyDescent="0.15">
      <c r="A886" s="47">
        <v>42116</v>
      </c>
      <c r="B886" s="48">
        <v>1.5032000000000001</v>
      </c>
    </row>
    <row r="887" spans="1:2" x14ac:dyDescent="0.15">
      <c r="A887" s="47">
        <v>42117</v>
      </c>
      <c r="B887" s="48">
        <v>1.5056</v>
      </c>
    </row>
    <row r="888" spans="1:2" x14ac:dyDescent="0.15">
      <c r="A888" s="47">
        <v>42118</v>
      </c>
      <c r="B888" s="48">
        <v>1.5185999999999999</v>
      </c>
    </row>
    <row r="889" spans="1:2" x14ac:dyDescent="0.15">
      <c r="A889" s="47">
        <v>42121</v>
      </c>
      <c r="B889" s="48">
        <v>1.5234000000000001</v>
      </c>
    </row>
    <row r="890" spans="1:2" x14ac:dyDescent="0.15">
      <c r="A890" s="47">
        <v>42122</v>
      </c>
      <c r="B890" s="48">
        <v>1.5336000000000001</v>
      </c>
    </row>
    <row r="891" spans="1:2" x14ac:dyDescent="0.15">
      <c r="A891" s="47">
        <v>42123</v>
      </c>
      <c r="B891" s="48">
        <v>1.5436000000000001</v>
      </c>
    </row>
    <row r="892" spans="1:2" x14ac:dyDescent="0.15">
      <c r="A892" s="47">
        <v>42124</v>
      </c>
      <c r="B892" s="48">
        <v>1.5348999999999999</v>
      </c>
    </row>
    <row r="893" spans="1:2" x14ac:dyDescent="0.15">
      <c r="A893" s="47">
        <v>42125</v>
      </c>
      <c r="B893" s="48">
        <v>1.5139</v>
      </c>
    </row>
    <row r="894" spans="1:2" x14ac:dyDescent="0.15">
      <c r="A894" s="47">
        <v>42128</v>
      </c>
      <c r="B894" s="48">
        <v>1.5118</v>
      </c>
    </row>
    <row r="895" spans="1:2" x14ac:dyDescent="0.15">
      <c r="A895" s="47">
        <v>42129</v>
      </c>
      <c r="B895" s="48">
        <v>1.518</v>
      </c>
    </row>
    <row r="896" spans="1:2" x14ac:dyDescent="0.15">
      <c r="A896" s="47">
        <v>42130</v>
      </c>
      <c r="B896" s="48">
        <v>1.5243</v>
      </c>
    </row>
    <row r="897" spans="1:2" x14ac:dyDescent="0.15">
      <c r="A897" s="47">
        <v>42131</v>
      </c>
      <c r="B897" s="48">
        <v>1.5243</v>
      </c>
    </row>
    <row r="898" spans="1:2" x14ac:dyDescent="0.15">
      <c r="A898" s="47">
        <v>42132</v>
      </c>
      <c r="B898" s="48">
        <v>1.5454000000000001</v>
      </c>
    </row>
    <row r="899" spans="1:2" x14ac:dyDescent="0.15">
      <c r="A899" s="47">
        <v>42135</v>
      </c>
      <c r="B899" s="48">
        <v>1.5584</v>
      </c>
    </row>
    <row r="900" spans="1:2" x14ac:dyDescent="0.15">
      <c r="A900" s="47">
        <v>42136</v>
      </c>
      <c r="B900" s="48">
        <v>1.5664</v>
      </c>
    </row>
    <row r="901" spans="1:2" x14ac:dyDescent="0.15">
      <c r="A901" s="47">
        <v>42137</v>
      </c>
      <c r="B901" s="48">
        <v>1.5743</v>
      </c>
    </row>
    <row r="902" spans="1:2" x14ac:dyDescent="0.15">
      <c r="A902" s="47">
        <v>42138</v>
      </c>
      <c r="B902" s="48">
        <v>1.5773999999999999</v>
      </c>
    </row>
    <row r="903" spans="1:2" x14ac:dyDescent="0.15">
      <c r="A903" s="47">
        <v>42139</v>
      </c>
      <c r="B903" s="48">
        <v>1.5721000000000001</v>
      </c>
    </row>
    <row r="904" spans="1:2" x14ac:dyDescent="0.15">
      <c r="A904" s="47">
        <v>42142</v>
      </c>
      <c r="B904" s="48">
        <v>1.5647</v>
      </c>
    </row>
    <row r="905" spans="1:2" x14ac:dyDescent="0.15">
      <c r="A905" s="47">
        <v>42143</v>
      </c>
      <c r="B905" s="48">
        <v>1.5508</v>
      </c>
    </row>
    <row r="906" spans="1:2" x14ac:dyDescent="0.15">
      <c r="A906" s="47">
        <v>42144</v>
      </c>
      <c r="B906" s="48">
        <v>1.5535000000000001</v>
      </c>
    </row>
    <row r="907" spans="1:2" x14ac:dyDescent="0.15">
      <c r="A907" s="47">
        <v>42145</v>
      </c>
      <c r="B907" s="48">
        <v>1.5660000000000001</v>
      </c>
    </row>
    <row r="908" spans="1:2" x14ac:dyDescent="0.15">
      <c r="A908" s="47">
        <v>42146</v>
      </c>
      <c r="B908" s="48">
        <v>1.5488</v>
      </c>
    </row>
    <row r="909" spans="1:2" x14ac:dyDescent="0.15">
      <c r="A909" s="47">
        <v>42149</v>
      </c>
      <c r="B909" s="48">
        <v>1.5465</v>
      </c>
    </row>
    <row r="910" spans="1:2" x14ac:dyDescent="0.15">
      <c r="A910" s="47">
        <v>42150</v>
      </c>
      <c r="B910" s="48">
        <v>1.538</v>
      </c>
    </row>
    <row r="911" spans="1:2" x14ac:dyDescent="0.15">
      <c r="A911" s="47">
        <v>42151</v>
      </c>
      <c r="B911" s="48">
        <v>1.5353000000000001</v>
      </c>
    </row>
    <row r="912" spans="1:2" x14ac:dyDescent="0.15">
      <c r="A912" s="47">
        <v>42152</v>
      </c>
      <c r="B912" s="48">
        <v>1.5314000000000001</v>
      </c>
    </row>
    <row r="913" spans="1:2" x14ac:dyDescent="0.15">
      <c r="A913" s="47">
        <v>42153</v>
      </c>
      <c r="B913" s="48">
        <v>1.5287999999999999</v>
      </c>
    </row>
    <row r="914" spans="1:2" x14ac:dyDescent="0.15">
      <c r="A914" s="47">
        <v>42156</v>
      </c>
      <c r="B914" s="48">
        <v>1.52</v>
      </c>
    </row>
    <row r="915" spans="1:2" x14ac:dyDescent="0.15">
      <c r="A915" s="47">
        <v>42157</v>
      </c>
      <c r="B915" s="48">
        <v>1.5342</v>
      </c>
    </row>
    <row r="916" spans="1:2" x14ac:dyDescent="0.15">
      <c r="A916" s="47">
        <v>42158</v>
      </c>
      <c r="B916" s="48">
        <v>1.5336000000000001</v>
      </c>
    </row>
    <row r="917" spans="1:2" x14ac:dyDescent="0.15">
      <c r="A917" s="47">
        <v>42159</v>
      </c>
      <c r="B917" s="48">
        <v>1.5364</v>
      </c>
    </row>
    <row r="918" spans="1:2" x14ac:dyDescent="0.15">
      <c r="A918" s="47">
        <v>42160</v>
      </c>
      <c r="B918" s="48">
        <v>1.5269999999999999</v>
      </c>
    </row>
    <row r="919" spans="1:2" x14ac:dyDescent="0.15">
      <c r="A919" s="47">
        <v>42163</v>
      </c>
      <c r="B919" s="48">
        <v>1.5347999999999999</v>
      </c>
    </row>
    <row r="920" spans="1:2" x14ac:dyDescent="0.15">
      <c r="A920" s="47">
        <v>42164</v>
      </c>
      <c r="B920" s="48">
        <v>1.5384</v>
      </c>
    </row>
    <row r="921" spans="1:2" x14ac:dyDescent="0.15">
      <c r="A921" s="47">
        <v>42165</v>
      </c>
      <c r="B921" s="48">
        <v>1.5528999999999999</v>
      </c>
    </row>
    <row r="922" spans="1:2" x14ac:dyDescent="0.15">
      <c r="A922" s="47">
        <v>42166</v>
      </c>
      <c r="B922" s="48">
        <v>1.5512999999999999</v>
      </c>
    </row>
    <row r="923" spans="1:2" x14ac:dyDescent="0.15">
      <c r="A923" s="47">
        <v>42167</v>
      </c>
      <c r="B923" s="48">
        <v>1.5553999999999999</v>
      </c>
    </row>
    <row r="924" spans="1:2" x14ac:dyDescent="0.15">
      <c r="A924" s="47">
        <v>42170</v>
      </c>
      <c r="B924" s="48">
        <v>1.5599000000000001</v>
      </c>
    </row>
    <row r="925" spans="1:2" x14ac:dyDescent="0.15">
      <c r="A925" s="47">
        <v>42171</v>
      </c>
      <c r="B925" s="48">
        <v>1.5644</v>
      </c>
    </row>
    <row r="926" spans="1:2" x14ac:dyDescent="0.15">
      <c r="A926" s="47">
        <v>42172</v>
      </c>
      <c r="B926" s="48">
        <v>1.583</v>
      </c>
    </row>
    <row r="927" spans="1:2" x14ac:dyDescent="0.15">
      <c r="A927" s="47">
        <v>42173</v>
      </c>
      <c r="B927" s="48">
        <v>1.5879000000000001</v>
      </c>
    </row>
    <row r="928" spans="1:2" x14ac:dyDescent="0.15">
      <c r="A928" s="47">
        <v>42174</v>
      </c>
      <c r="B928" s="48">
        <v>1.5882000000000001</v>
      </c>
    </row>
    <row r="929" spans="1:2" x14ac:dyDescent="0.15">
      <c r="A929" s="47">
        <v>42177</v>
      </c>
      <c r="B929" s="48">
        <v>1.5822000000000001</v>
      </c>
    </row>
    <row r="930" spans="1:2" x14ac:dyDescent="0.15">
      <c r="A930" s="47">
        <v>42178</v>
      </c>
      <c r="B930" s="48">
        <v>1.5729</v>
      </c>
    </row>
    <row r="931" spans="1:2" x14ac:dyDescent="0.15">
      <c r="A931" s="47">
        <v>42179</v>
      </c>
      <c r="B931" s="48">
        <v>1.5702</v>
      </c>
    </row>
    <row r="932" spans="1:2" x14ac:dyDescent="0.15">
      <c r="A932" s="47">
        <v>42180</v>
      </c>
      <c r="B932" s="48">
        <v>1.5744</v>
      </c>
    </row>
    <row r="933" spans="1:2" x14ac:dyDescent="0.15">
      <c r="A933" s="47">
        <v>42181</v>
      </c>
      <c r="B933" s="48">
        <v>1.575</v>
      </c>
    </row>
    <row r="934" spans="1:2" x14ac:dyDescent="0.15">
      <c r="A934" s="47">
        <v>42184</v>
      </c>
      <c r="B934" s="48">
        <v>1.5737000000000001</v>
      </c>
    </row>
    <row r="935" spans="1:2" x14ac:dyDescent="0.15">
      <c r="A935" s="47">
        <v>42185</v>
      </c>
      <c r="B935" s="48">
        <v>1.5705</v>
      </c>
    </row>
    <row r="936" spans="1:2" x14ac:dyDescent="0.15">
      <c r="A936" s="47">
        <v>42186</v>
      </c>
      <c r="B936" s="48">
        <v>1.5612999999999999</v>
      </c>
    </row>
    <row r="937" spans="1:2" x14ac:dyDescent="0.15">
      <c r="A937" s="47">
        <v>42187</v>
      </c>
      <c r="B937" s="48">
        <v>1.5606</v>
      </c>
    </row>
    <row r="938" spans="1:2" x14ac:dyDescent="0.15">
      <c r="A938" s="47">
        <v>42188</v>
      </c>
      <c r="B938" s="48">
        <v>1.5568</v>
      </c>
    </row>
    <row r="939" spans="1:2" x14ac:dyDescent="0.15">
      <c r="A939" s="47">
        <v>42191</v>
      </c>
      <c r="B939" s="48">
        <v>1.5601</v>
      </c>
    </row>
    <row r="940" spans="1:2" x14ac:dyDescent="0.15">
      <c r="A940" s="47">
        <v>42192</v>
      </c>
      <c r="B940" s="48">
        <v>1.546</v>
      </c>
    </row>
    <row r="941" spans="1:2" x14ac:dyDescent="0.15">
      <c r="A941" s="47">
        <v>42193</v>
      </c>
      <c r="B941" s="48">
        <v>1.5359</v>
      </c>
    </row>
    <row r="942" spans="1:2" x14ac:dyDescent="0.15">
      <c r="A942" s="47">
        <v>42194</v>
      </c>
      <c r="B942" s="48">
        <v>1.5377000000000001</v>
      </c>
    </row>
    <row r="943" spans="1:2" x14ac:dyDescent="0.15">
      <c r="A943" s="47">
        <v>42195</v>
      </c>
      <c r="B943" s="48">
        <v>1.5524</v>
      </c>
    </row>
    <row r="944" spans="1:2" x14ac:dyDescent="0.15">
      <c r="A944" s="47">
        <v>42198</v>
      </c>
      <c r="B944" s="48">
        <v>1.5486</v>
      </c>
    </row>
    <row r="945" spans="1:2" x14ac:dyDescent="0.15">
      <c r="A945" s="47">
        <v>42199</v>
      </c>
      <c r="B945" s="48">
        <v>1.5629999999999999</v>
      </c>
    </row>
    <row r="946" spans="1:2" x14ac:dyDescent="0.15">
      <c r="A946" s="47">
        <v>42200</v>
      </c>
      <c r="B946" s="48">
        <v>1.5634999999999999</v>
      </c>
    </row>
    <row r="947" spans="1:2" x14ac:dyDescent="0.15">
      <c r="A947" s="47">
        <v>42201</v>
      </c>
      <c r="B947" s="48">
        <v>1.5605</v>
      </c>
    </row>
    <row r="948" spans="1:2" x14ac:dyDescent="0.15">
      <c r="A948" s="47">
        <v>42202</v>
      </c>
      <c r="B948" s="48">
        <v>1.5608</v>
      </c>
    </row>
    <row r="949" spans="1:2" x14ac:dyDescent="0.15">
      <c r="A949" s="47">
        <v>42205</v>
      </c>
      <c r="B949" s="48">
        <v>1.5563</v>
      </c>
    </row>
    <row r="950" spans="1:2" x14ac:dyDescent="0.15">
      <c r="A950" s="47">
        <v>42206</v>
      </c>
      <c r="B950" s="48">
        <v>1.5557000000000001</v>
      </c>
    </row>
    <row r="951" spans="1:2" x14ac:dyDescent="0.15">
      <c r="A951" s="47">
        <v>42207</v>
      </c>
      <c r="B951" s="48">
        <v>1.5612999999999999</v>
      </c>
    </row>
    <row r="952" spans="1:2" x14ac:dyDescent="0.15">
      <c r="A952" s="47">
        <v>42208</v>
      </c>
      <c r="B952" s="48">
        <v>1.5510999999999999</v>
      </c>
    </row>
    <row r="953" spans="1:2" x14ac:dyDescent="0.15">
      <c r="A953" s="47">
        <v>42209</v>
      </c>
      <c r="B953" s="48">
        <v>1.5511999999999999</v>
      </c>
    </row>
    <row r="954" spans="1:2" x14ac:dyDescent="0.15">
      <c r="A954" s="47">
        <v>42212</v>
      </c>
      <c r="B954" s="48">
        <v>1.5556000000000001</v>
      </c>
    </row>
    <row r="955" spans="1:2" x14ac:dyDescent="0.15">
      <c r="A955" s="47">
        <v>42213</v>
      </c>
      <c r="B955" s="48">
        <v>1.5609</v>
      </c>
    </row>
    <row r="956" spans="1:2" x14ac:dyDescent="0.15">
      <c r="A956" s="47">
        <v>42214</v>
      </c>
      <c r="B956" s="48">
        <v>1.5602</v>
      </c>
    </row>
    <row r="957" spans="1:2" x14ac:dyDescent="0.15">
      <c r="A957" s="47">
        <v>42215</v>
      </c>
      <c r="B957" s="48">
        <v>1.5599000000000001</v>
      </c>
    </row>
    <row r="958" spans="1:2" x14ac:dyDescent="0.15">
      <c r="A958" s="47">
        <v>42216</v>
      </c>
      <c r="B958" s="48">
        <v>1.5622</v>
      </c>
    </row>
    <row r="959" spans="1:2" x14ac:dyDescent="0.15">
      <c r="A959" s="47">
        <v>42219</v>
      </c>
      <c r="B959" s="48">
        <v>1.5584</v>
      </c>
    </row>
    <row r="960" spans="1:2" x14ac:dyDescent="0.15">
      <c r="A960" s="47">
        <v>42220</v>
      </c>
      <c r="B960" s="48">
        <v>1.556</v>
      </c>
    </row>
    <row r="961" spans="1:2" x14ac:dyDescent="0.15">
      <c r="A961" s="47">
        <v>42221</v>
      </c>
      <c r="B961" s="48">
        <v>1.56</v>
      </c>
    </row>
    <row r="962" spans="1:2" x14ac:dyDescent="0.15">
      <c r="A962" s="47">
        <v>42222</v>
      </c>
      <c r="B962" s="48">
        <v>1.5509999999999999</v>
      </c>
    </row>
    <row r="963" spans="1:2" x14ac:dyDescent="0.15">
      <c r="A963" s="47">
        <v>42223</v>
      </c>
      <c r="B963" s="48">
        <v>1.5495000000000001</v>
      </c>
    </row>
    <row r="964" spans="1:2" x14ac:dyDescent="0.15">
      <c r="A964" s="47">
        <v>42226</v>
      </c>
      <c r="B964" s="48">
        <v>1.5586</v>
      </c>
    </row>
    <row r="965" spans="1:2" x14ac:dyDescent="0.15">
      <c r="A965" s="47">
        <v>42227</v>
      </c>
      <c r="B965" s="48">
        <v>1.5571999999999999</v>
      </c>
    </row>
    <row r="966" spans="1:2" x14ac:dyDescent="0.15">
      <c r="A966" s="47">
        <v>42228</v>
      </c>
      <c r="B966" s="48">
        <v>1.5611999999999999</v>
      </c>
    </row>
    <row r="967" spans="1:2" x14ac:dyDescent="0.15">
      <c r="A967" s="47">
        <v>42229</v>
      </c>
      <c r="B967" s="48">
        <v>1.5607</v>
      </c>
    </row>
    <row r="968" spans="1:2" x14ac:dyDescent="0.15">
      <c r="A968" s="47">
        <v>42230</v>
      </c>
      <c r="B968" s="48">
        <v>1.5643</v>
      </c>
    </row>
    <row r="969" spans="1:2" x14ac:dyDescent="0.15">
      <c r="A969" s="47">
        <v>42233</v>
      </c>
      <c r="B969" s="48">
        <v>1.5582</v>
      </c>
    </row>
    <row r="970" spans="1:2" x14ac:dyDescent="0.15">
      <c r="A970" s="47">
        <v>42234</v>
      </c>
      <c r="B970" s="48">
        <v>1.5656000000000001</v>
      </c>
    </row>
    <row r="971" spans="1:2" x14ac:dyDescent="0.15">
      <c r="A971" s="47">
        <v>42235</v>
      </c>
      <c r="B971" s="48">
        <v>1.5678000000000001</v>
      </c>
    </row>
    <row r="972" spans="1:2" x14ac:dyDescent="0.15">
      <c r="A972" s="47">
        <v>42236</v>
      </c>
      <c r="B972" s="48">
        <v>1.5687</v>
      </c>
    </row>
    <row r="973" spans="1:2" x14ac:dyDescent="0.15">
      <c r="A973" s="47">
        <v>42237</v>
      </c>
      <c r="B973" s="48">
        <v>1.5694999999999999</v>
      </c>
    </row>
    <row r="974" spans="1:2" x14ac:dyDescent="0.15">
      <c r="A974" s="47">
        <v>42240</v>
      </c>
      <c r="B974" s="48">
        <v>1.5773999999999999</v>
      </c>
    </row>
    <row r="975" spans="1:2" x14ac:dyDescent="0.15">
      <c r="A975" s="47">
        <v>42241</v>
      </c>
      <c r="B975" s="48">
        <v>1.5686</v>
      </c>
    </row>
    <row r="976" spans="1:2" x14ac:dyDescent="0.15">
      <c r="A976" s="47">
        <v>42242</v>
      </c>
      <c r="B976" s="48">
        <v>1.5458000000000001</v>
      </c>
    </row>
    <row r="977" spans="1:2" x14ac:dyDescent="0.15">
      <c r="A977" s="47">
        <v>42243</v>
      </c>
      <c r="B977" s="48">
        <v>1.5399</v>
      </c>
    </row>
    <row r="978" spans="1:2" x14ac:dyDescent="0.15">
      <c r="A978" s="47">
        <v>42244</v>
      </c>
      <c r="B978" s="48">
        <v>1.5390999999999999</v>
      </c>
    </row>
    <row r="979" spans="1:2" x14ac:dyDescent="0.15">
      <c r="A979" s="47">
        <v>42247</v>
      </c>
      <c r="B979" s="48">
        <v>1.5342</v>
      </c>
    </row>
    <row r="980" spans="1:2" x14ac:dyDescent="0.15">
      <c r="A980" s="47">
        <v>42248</v>
      </c>
      <c r="B980" s="48">
        <v>1.5302</v>
      </c>
    </row>
    <row r="981" spans="1:2" x14ac:dyDescent="0.15">
      <c r="A981" s="47">
        <v>42249</v>
      </c>
      <c r="B981" s="48">
        <v>1.5299</v>
      </c>
    </row>
    <row r="982" spans="1:2" x14ac:dyDescent="0.15">
      <c r="A982" s="47">
        <v>42250</v>
      </c>
      <c r="B982" s="48">
        <v>1.5255000000000001</v>
      </c>
    </row>
    <row r="983" spans="1:2" x14ac:dyDescent="0.15">
      <c r="A983" s="47">
        <v>42251</v>
      </c>
      <c r="B983" s="48">
        <v>1.5167999999999999</v>
      </c>
    </row>
    <row r="984" spans="1:2" x14ac:dyDescent="0.15">
      <c r="A984" s="47">
        <v>42254</v>
      </c>
      <c r="B984" s="48">
        <v>1.5268999999999999</v>
      </c>
    </row>
    <row r="985" spans="1:2" x14ac:dyDescent="0.15">
      <c r="A985" s="47">
        <v>42255</v>
      </c>
      <c r="B985" s="48">
        <v>1.5395000000000001</v>
      </c>
    </row>
    <row r="986" spans="1:2" x14ac:dyDescent="0.15">
      <c r="A986" s="47">
        <v>42256</v>
      </c>
      <c r="B986" s="48">
        <v>1.5363</v>
      </c>
    </row>
    <row r="987" spans="1:2" x14ac:dyDescent="0.15">
      <c r="A987" s="47">
        <v>42257</v>
      </c>
      <c r="B987" s="48">
        <v>1.5443</v>
      </c>
    </row>
    <row r="988" spans="1:2" x14ac:dyDescent="0.15">
      <c r="A988" s="47">
        <v>42258</v>
      </c>
      <c r="B988" s="48">
        <v>1.5427</v>
      </c>
    </row>
    <row r="989" spans="1:2" x14ac:dyDescent="0.15">
      <c r="A989" s="47">
        <v>42261</v>
      </c>
      <c r="B989" s="48">
        <v>1.5424</v>
      </c>
    </row>
    <row r="990" spans="1:2" x14ac:dyDescent="0.15">
      <c r="A990" s="47">
        <v>42262</v>
      </c>
      <c r="B990" s="48">
        <v>1.5341</v>
      </c>
    </row>
    <row r="991" spans="1:2" x14ac:dyDescent="0.15">
      <c r="A991" s="47">
        <v>42263</v>
      </c>
      <c r="B991" s="48">
        <v>1.5491999999999999</v>
      </c>
    </row>
    <row r="992" spans="1:2" x14ac:dyDescent="0.15">
      <c r="A992" s="47">
        <v>42264</v>
      </c>
      <c r="B992" s="48">
        <v>1.5587</v>
      </c>
    </row>
    <row r="993" spans="1:2" x14ac:dyDescent="0.15">
      <c r="A993" s="47">
        <v>42265</v>
      </c>
      <c r="B993" s="48">
        <v>1.5530999999999999</v>
      </c>
    </row>
    <row r="994" spans="1:2" x14ac:dyDescent="0.15">
      <c r="A994" s="47">
        <v>42268</v>
      </c>
      <c r="B994" s="48">
        <v>1.5505</v>
      </c>
    </row>
    <row r="995" spans="1:2" x14ac:dyDescent="0.15">
      <c r="A995" s="47">
        <v>42269</v>
      </c>
      <c r="B995" s="48">
        <v>1.5362</v>
      </c>
    </row>
    <row r="996" spans="1:2" x14ac:dyDescent="0.15">
      <c r="A996" s="47">
        <v>42270</v>
      </c>
      <c r="B996" s="48">
        <v>1.5243</v>
      </c>
    </row>
    <row r="997" spans="1:2" x14ac:dyDescent="0.15">
      <c r="A997" s="47">
        <v>42271</v>
      </c>
      <c r="B997" s="48">
        <v>1.524</v>
      </c>
    </row>
    <row r="998" spans="1:2" x14ac:dyDescent="0.15">
      <c r="A998" s="47">
        <v>42272</v>
      </c>
      <c r="B998" s="48">
        <v>1.5181</v>
      </c>
    </row>
    <row r="999" spans="1:2" x14ac:dyDescent="0.15">
      <c r="A999" s="47">
        <v>42275</v>
      </c>
      <c r="B999" s="48">
        <v>1.5170999999999999</v>
      </c>
    </row>
    <row r="1000" spans="1:2" x14ac:dyDescent="0.15">
      <c r="A1000" s="47">
        <v>42276</v>
      </c>
      <c r="B1000" s="48">
        <v>1.5146999999999999</v>
      </c>
    </row>
    <row r="1001" spans="1:2" x14ac:dyDescent="0.15">
      <c r="A1001" s="47">
        <v>42277</v>
      </c>
      <c r="B1001" s="48">
        <v>1.5126999999999999</v>
      </c>
    </row>
    <row r="1002" spans="1:2" x14ac:dyDescent="0.15">
      <c r="A1002" s="47">
        <v>42278</v>
      </c>
      <c r="B1002" s="48">
        <v>1.5127999999999999</v>
      </c>
    </row>
    <row r="1003" spans="1:2" x14ac:dyDescent="0.15">
      <c r="A1003" s="47">
        <v>42279</v>
      </c>
      <c r="B1003" s="48">
        <v>1.5181</v>
      </c>
    </row>
    <row r="1004" spans="1:2" x14ac:dyDescent="0.15">
      <c r="A1004" s="47">
        <v>42282</v>
      </c>
      <c r="B1004" s="48">
        <v>1.5143</v>
      </c>
    </row>
    <row r="1005" spans="1:2" x14ac:dyDescent="0.15">
      <c r="A1005" s="47">
        <v>42283</v>
      </c>
      <c r="B1005" s="48">
        <v>1.5221</v>
      </c>
    </row>
    <row r="1006" spans="1:2" x14ac:dyDescent="0.15">
      <c r="A1006" s="47">
        <v>42284</v>
      </c>
      <c r="B1006" s="48">
        <v>1.5314000000000001</v>
      </c>
    </row>
    <row r="1007" spans="1:2" x14ac:dyDescent="0.15">
      <c r="A1007" s="47">
        <v>42285</v>
      </c>
      <c r="B1007" s="48">
        <v>1.5344</v>
      </c>
    </row>
    <row r="1008" spans="1:2" x14ac:dyDescent="0.15">
      <c r="A1008" s="47">
        <v>42286</v>
      </c>
      <c r="B1008" s="48">
        <v>1.5303</v>
      </c>
    </row>
    <row r="1009" spans="1:2" x14ac:dyDescent="0.15">
      <c r="A1009" s="47">
        <v>42289</v>
      </c>
      <c r="B1009" s="48">
        <v>1.5344</v>
      </c>
    </row>
    <row r="1010" spans="1:2" x14ac:dyDescent="0.15">
      <c r="A1010" s="47">
        <v>42290</v>
      </c>
      <c r="B1010" s="48">
        <v>1.5245</v>
      </c>
    </row>
    <row r="1011" spans="1:2" x14ac:dyDescent="0.15">
      <c r="A1011" s="47">
        <v>42291</v>
      </c>
      <c r="B1011" s="48">
        <v>1.5472999999999999</v>
      </c>
    </row>
    <row r="1012" spans="1:2" x14ac:dyDescent="0.15">
      <c r="A1012" s="47">
        <v>42292</v>
      </c>
      <c r="B1012" s="48">
        <v>1.5451999999999999</v>
      </c>
    </row>
    <row r="1013" spans="1:2" x14ac:dyDescent="0.15">
      <c r="A1013" s="47">
        <v>42293</v>
      </c>
      <c r="B1013" s="48">
        <v>1.5434000000000001</v>
      </c>
    </row>
    <row r="1014" spans="1:2" x14ac:dyDescent="0.15">
      <c r="A1014" s="47">
        <v>42296</v>
      </c>
      <c r="B1014" s="48">
        <v>1.5461</v>
      </c>
    </row>
    <row r="1015" spans="1:2" x14ac:dyDescent="0.15">
      <c r="A1015" s="47">
        <v>42297</v>
      </c>
      <c r="B1015" s="48">
        <v>1.544</v>
      </c>
    </row>
    <row r="1016" spans="1:2" x14ac:dyDescent="0.15">
      <c r="A1016" s="47">
        <v>42298</v>
      </c>
      <c r="B1016" s="48">
        <v>1.5416000000000001</v>
      </c>
    </row>
    <row r="1017" spans="1:2" x14ac:dyDescent="0.15">
      <c r="A1017" s="47">
        <v>42299</v>
      </c>
      <c r="B1017" s="48">
        <v>1.5391999999999999</v>
      </c>
    </row>
    <row r="1018" spans="1:2" x14ac:dyDescent="0.15">
      <c r="A1018" s="47">
        <v>42300</v>
      </c>
      <c r="B1018" s="48">
        <v>1.5313000000000001</v>
      </c>
    </row>
    <row r="1019" spans="1:2" x14ac:dyDescent="0.15">
      <c r="A1019" s="47">
        <v>42303</v>
      </c>
      <c r="B1019" s="48">
        <v>1.5348999999999999</v>
      </c>
    </row>
    <row r="1020" spans="1:2" x14ac:dyDescent="0.15">
      <c r="A1020" s="47">
        <v>42304</v>
      </c>
      <c r="B1020" s="48">
        <v>1.5295000000000001</v>
      </c>
    </row>
    <row r="1021" spans="1:2" x14ac:dyDescent="0.15">
      <c r="A1021" s="47">
        <v>42305</v>
      </c>
      <c r="B1021" s="48">
        <v>1.526</v>
      </c>
    </row>
    <row r="1022" spans="1:2" x14ac:dyDescent="0.15">
      <c r="A1022" s="47">
        <v>42306</v>
      </c>
      <c r="B1022" s="48">
        <v>1.5306999999999999</v>
      </c>
    </row>
    <row r="1023" spans="1:2" x14ac:dyDescent="0.15">
      <c r="A1023" s="47">
        <v>42307</v>
      </c>
      <c r="B1023" s="48">
        <v>1.5427999999999999</v>
      </c>
    </row>
    <row r="1024" spans="1:2" x14ac:dyDescent="0.15">
      <c r="A1024" s="47">
        <v>42310</v>
      </c>
      <c r="B1024" s="48">
        <v>1.5415000000000001</v>
      </c>
    </row>
    <row r="1025" spans="1:2" x14ac:dyDescent="0.15">
      <c r="A1025" s="47">
        <v>42311</v>
      </c>
      <c r="B1025" s="48">
        <v>1.5418000000000001</v>
      </c>
    </row>
    <row r="1026" spans="1:2" x14ac:dyDescent="0.15">
      <c r="A1026" s="47">
        <v>42312</v>
      </c>
      <c r="B1026" s="48">
        <v>1.5382</v>
      </c>
    </row>
    <row r="1027" spans="1:2" x14ac:dyDescent="0.15">
      <c r="A1027" s="47">
        <v>42313</v>
      </c>
      <c r="B1027" s="48">
        <v>1.5205</v>
      </c>
    </row>
    <row r="1028" spans="1:2" x14ac:dyDescent="0.15">
      <c r="A1028" s="47">
        <v>42314</v>
      </c>
      <c r="B1028" s="48">
        <v>1.5046999999999999</v>
      </c>
    </row>
    <row r="1029" spans="1:2" x14ac:dyDescent="0.15">
      <c r="A1029" s="47">
        <v>42317</v>
      </c>
      <c r="B1029" s="48">
        <v>1.5114000000000001</v>
      </c>
    </row>
    <row r="1030" spans="1:2" x14ac:dyDescent="0.15">
      <c r="A1030" s="47">
        <v>42318</v>
      </c>
      <c r="B1030" s="48">
        <v>1.5116000000000001</v>
      </c>
    </row>
    <row r="1031" spans="1:2" x14ac:dyDescent="0.15">
      <c r="A1031" s="47">
        <v>42319</v>
      </c>
      <c r="B1031" s="48">
        <v>1.5206999999999999</v>
      </c>
    </row>
    <row r="1032" spans="1:2" x14ac:dyDescent="0.15">
      <c r="A1032" s="47">
        <v>42320</v>
      </c>
      <c r="B1032" s="48">
        <v>1.5229999999999999</v>
      </c>
    </row>
    <row r="1033" spans="1:2" x14ac:dyDescent="0.15">
      <c r="A1033" s="47">
        <v>42321</v>
      </c>
      <c r="B1033" s="48">
        <v>1.5230999999999999</v>
      </c>
    </row>
    <row r="1034" spans="1:2" x14ac:dyDescent="0.15">
      <c r="A1034" s="47">
        <v>42324</v>
      </c>
      <c r="B1034" s="48">
        <v>1.5198</v>
      </c>
    </row>
    <row r="1035" spans="1:2" x14ac:dyDescent="0.15">
      <c r="A1035" s="47">
        <v>42325</v>
      </c>
      <c r="B1035" s="48">
        <v>1.5212000000000001</v>
      </c>
    </row>
    <row r="1036" spans="1:2" x14ac:dyDescent="0.15">
      <c r="A1036" s="47">
        <v>42326</v>
      </c>
      <c r="B1036" s="48">
        <v>1.5236000000000001</v>
      </c>
    </row>
    <row r="1037" spans="1:2" x14ac:dyDescent="0.15">
      <c r="A1037" s="47">
        <v>42327</v>
      </c>
      <c r="B1037" s="48">
        <v>1.5288999999999999</v>
      </c>
    </row>
    <row r="1038" spans="1:2" x14ac:dyDescent="0.15">
      <c r="A1038" s="47">
        <v>42328</v>
      </c>
      <c r="B1038" s="48">
        <v>1.5188999999999999</v>
      </c>
    </row>
    <row r="1039" spans="1:2" x14ac:dyDescent="0.15">
      <c r="A1039" s="47">
        <v>42331</v>
      </c>
      <c r="B1039" s="48">
        <v>1.5122</v>
      </c>
    </row>
    <row r="1040" spans="1:2" x14ac:dyDescent="0.15">
      <c r="A1040" s="47">
        <v>42332</v>
      </c>
      <c r="B1040" s="48">
        <v>1.5083</v>
      </c>
    </row>
    <row r="1041" spans="1:2" x14ac:dyDescent="0.15">
      <c r="A1041" s="47">
        <v>42333</v>
      </c>
      <c r="B1041" s="48">
        <v>1.5125999999999999</v>
      </c>
    </row>
    <row r="1042" spans="1:2" x14ac:dyDescent="0.15">
      <c r="A1042" s="47">
        <v>42334</v>
      </c>
      <c r="B1042" s="48">
        <v>1.51</v>
      </c>
    </row>
    <row r="1043" spans="1:2" x14ac:dyDescent="0.15">
      <c r="A1043" s="47">
        <v>42335</v>
      </c>
      <c r="B1043" s="48">
        <v>1.5035000000000001</v>
      </c>
    </row>
    <row r="1044" spans="1:2" x14ac:dyDescent="0.15">
      <c r="A1044" s="47">
        <v>42338</v>
      </c>
      <c r="B1044" s="48">
        <v>1.5054000000000001</v>
      </c>
    </row>
    <row r="1045" spans="1:2" x14ac:dyDescent="0.15">
      <c r="A1045" s="47">
        <v>42339</v>
      </c>
      <c r="B1045" s="48">
        <v>1.508</v>
      </c>
    </row>
    <row r="1046" spans="1:2" x14ac:dyDescent="0.15">
      <c r="A1046" s="47">
        <v>42340</v>
      </c>
      <c r="B1046" s="48">
        <v>1.4947999999999999</v>
      </c>
    </row>
    <row r="1047" spans="1:2" x14ac:dyDescent="0.15">
      <c r="A1047" s="47">
        <v>42341</v>
      </c>
      <c r="B1047" s="48">
        <v>1.5143</v>
      </c>
    </row>
    <row r="1048" spans="1:2" x14ac:dyDescent="0.15">
      <c r="A1048" s="47">
        <v>42342</v>
      </c>
      <c r="B1048" s="48">
        <v>1.5109999999999999</v>
      </c>
    </row>
    <row r="1049" spans="1:2" x14ac:dyDescent="0.15">
      <c r="A1049" s="47">
        <v>42345</v>
      </c>
      <c r="B1049" s="48">
        <v>1.5052000000000001</v>
      </c>
    </row>
    <row r="1050" spans="1:2" x14ac:dyDescent="0.15">
      <c r="A1050" s="47">
        <v>42346</v>
      </c>
      <c r="B1050" s="48">
        <v>1.5005999999999999</v>
      </c>
    </row>
    <row r="1051" spans="1:2" x14ac:dyDescent="0.15">
      <c r="A1051" s="47">
        <v>42347</v>
      </c>
      <c r="B1051" s="48">
        <v>1.518</v>
      </c>
    </row>
    <row r="1052" spans="1:2" x14ac:dyDescent="0.15">
      <c r="A1052" s="47">
        <v>42348</v>
      </c>
      <c r="B1052" s="48">
        <v>1.5158</v>
      </c>
    </row>
    <row r="1053" spans="1:2" x14ac:dyDescent="0.15">
      <c r="A1053" s="47">
        <v>42349</v>
      </c>
      <c r="B1053" s="48">
        <v>1.5215000000000001</v>
      </c>
    </row>
    <row r="1054" spans="1:2" x14ac:dyDescent="0.15">
      <c r="A1054" s="47">
        <v>42352</v>
      </c>
      <c r="B1054" s="48">
        <v>1.514</v>
      </c>
    </row>
    <row r="1055" spans="1:2" x14ac:dyDescent="0.15">
      <c r="A1055" s="47">
        <v>42353</v>
      </c>
      <c r="B1055" s="48">
        <v>1.5034000000000001</v>
      </c>
    </row>
    <row r="1056" spans="1:2" x14ac:dyDescent="0.15">
      <c r="A1056" s="47">
        <v>42354</v>
      </c>
      <c r="B1056" s="48">
        <v>1.4999</v>
      </c>
    </row>
    <row r="1057" spans="1:2" x14ac:dyDescent="0.15">
      <c r="A1057" s="47">
        <v>42355</v>
      </c>
      <c r="B1057" s="48">
        <v>1.49</v>
      </c>
    </row>
    <row r="1058" spans="1:2" x14ac:dyDescent="0.15">
      <c r="A1058" s="47">
        <v>42356</v>
      </c>
      <c r="B1058" s="48">
        <v>1.4892000000000001</v>
      </c>
    </row>
    <row r="1059" spans="1:2" x14ac:dyDescent="0.15">
      <c r="A1059" s="47">
        <v>42359</v>
      </c>
      <c r="B1059" s="48">
        <v>1.4878</v>
      </c>
    </row>
    <row r="1060" spans="1:2" x14ac:dyDescent="0.15">
      <c r="A1060" s="47">
        <v>42360</v>
      </c>
      <c r="B1060" s="48">
        <v>1.4823999999999999</v>
      </c>
    </row>
    <row r="1061" spans="1:2" x14ac:dyDescent="0.15">
      <c r="A1061" s="47">
        <v>42361</v>
      </c>
      <c r="B1061" s="48">
        <v>1.4867999999999999</v>
      </c>
    </row>
    <row r="1062" spans="1:2" x14ac:dyDescent="0.15">
      <c r="A1062" s="47">
        <v>42362</v>
      </c>
      <c r="B1062" s="48">
        <v>1.4915</v>
      </c>
    </row>
    <row r="1063" spans="1:2" x14ac:dyDescent="0.15">
      <c r="A1063" s="47">
        <v>42363</v>
      </c>
      <c r="B1063" s="48">
        <v>1.4932000000000001</v>
      </c>
    </row>
    <row r="1064" spans="1:2" x14ac:dyDescent="0.15">
      <c r="A1064" s="47">
        <v>42366</v>
      </c>
      <c r="B1064" s="48">
        <v>1.4876</v>
      </c>
    </row>
    <row r="1065" spans="1:2" x14ac:dyDescent="0.15">
      <c r="A1065" s="47">
        <v>42367</v>
      </c>
      <c r="B1065" s="48">
        <v>1.4811000000000001</v>
      </c>
    </row>
    <row r="1066" spans="1:2" x14ac:dyDescent="0.15">
      <c r="A1066" s="47">
        <v>42368</v>
      </c>
      <c r="B1066" s="48">
        <v>1.4812000000000001</v>
      </c>
    </row>
    <row r="1067" spans="1:2" x14ac:dyDescent="0.15">
      <c r="A1067" s="47">
        <v>42369</v>
      </c>
      <c r="B1067" s="48">
        <v>1.4738</v>
      </c>
    </row>
    <row r="1068" spans="1:2" x14ac:dyDescent="0.15">
      <c r="A1068" s="47">
        <v>42370</v>
      </c>
      <c r="B1068" s="48">
        <v>1.4742999999999999</v>
      </c>
    </row>
    <row r="1069" spans="1:2" x14ac:dyDescent="0.15">
      <c r="A1069" s="47">
        <v>42373</v>
      </c>
      <c r="B1069" s="48">
        <v>1.4715</v>
      </c>
    </row>
    <row r="1070" spans="1:2" x14ac:dyDescent="0.15">
      <c r="A1070" s="47">
        <v>42374</v>
      </c>
      <c r="B1070" s="48">
        <v>1.4671000000000001</v>
      </c>
    </row>
    <row r="1071" spans="1:2" x14ac:dyDescent="0.15">
      <c r="A1071" s="47">
        <v>42375</v>
      </c>
      <c r="B1071" s="48">
        <v>1.4625999999999999</v>
      </c>
    </row>
    <row r="1072" spans="1:2" x14ac:dyDescent="0.15">
      <c r="A1072" s="47">
        <v>42376</v>
      </c>
      <c r="B1072" s="48">
        <v>1.4615</v>
      </c>
    </row>
    <row r="1073" spans="1:2" x14ac:dyDescent="0.15">
      <c r="A1073" s="47">
        <v>42377</v>
      </c>
      <c r="B1073" s="48">
        <v>1.4517</v>
      </c>
    </row>
    <row r="1074" spans="1:2" x14ac:dyDescent="0.15">
      <c r="A1074" s="47">
        <v>42380</v>
      </c>
      <c r="B1074" s="48">
        <v>1.4538</v>
      </c>
    </row>
    <row r="1075" spans="1:2" x14ac:dyDescent="0.15">
      <c r="A1075" s="47">
        <v>42381</v>
      </c>
      <c r="B1075" s="48">
        <v>1.4442999999999999</v>
      </c>
    </row>
    <row r="1076" spans="1:2" x14ac:dyDescent="0.15">
      <c r="A1076" s="47">
        <v>42382</v>
      </c>
      <c r="B1076" s="48">
        <v>1.4406000000000001</v>
      </c>
    </row>
    <row r="1077" spans="1:2" x14ac:dyDescent="0.15">
      <c r="A1077" s="47">
        <v>42383</v>
      </c>
      <c r="B1077" s="48">
        <v>1.4413</v>
      </c>
    </row>
    <row r="1078" spans="1:2" x14ac:dyDescent="0.15">
      <c r="A1078" s="47">
        <v>42384</v>
      </c>
      <c r="B1078" s="48">
        <v>1.4254</v>
      </c>
    </row>
    <row r="1079" spans="1:2" x14ac:dyDescent="0.15">
      <c r="A1079" s="47">
        <v>42387</v>
      </c>
      <c r="B1079" s="48">
        <v>1.4240999999999999</v>
      </c>
    </row>
    <row r="1080" spans="1:2" x14ac:dyDescent="0.15">
      <c r="A1080" s="47">
        <v>42388</v>
      </c>
      <c r="B1080" s="48">
        <v>1.4155</v>
      </c>
    </row>
    <row r="1081" spans="1:2" x14ac:dyDescent="0.15">
      <c r="A1081" s="47">
        <v>42389</v>
      </c>
      <c r="B1081" s="48">
        <v>1.419</v>
      </c>
    </row>
    <row r="1082" spans="1:2" x14ac:dyDescent="0.15">
      <c r="A1082" s="47">
        <v>42390</v>
      </c>
      <c r="B1082" s="48">
        <v>1.4217</v>
      </c>
    </row>
    <row r="1083" spans="1:2" x14ac:dyDescent="0.15">
      <c r="A1083" s="47">
        <v>42391</v>
      </c>
      <c r="B1083" s="48">
        <v>1.4262999999999999</v>
      </c>
    </row>
    <row r="1084" spans="1:2" x14ac:dyDescent="0.15">
      <c r="A1084" s="47">
        <v>42394</v>
      </c>
      <c r="B1084" s="48">
        <v>1.4247000000000001</v>
      </c>
    </row>
    <row r="1085" spans="1:2" x14ac:dyDescent="0.15">
      <c r="A1085" s="47">
        <v>42395</v>
      </c>
      <c r="B1085" s="48">
        <v>1.4350000000000001</v>
      </c>
    </row>
    <row r="1086" spans="1:2" x14ac:dyDescent="0.15">
      <c r="A1086" s="47">
        <v>42396</v>
      </c>
      <c r="B1086" s="48">
        <v>1.4229000000000001</v>
      </c>
    </row>
    <row r="1087" spans="1:2" x14ac:dyDescent="0.15">
      <c r="A1087" s="47">
        <v>42397</v>
      </c>
      <c r="B1087" s="48">
        <v>1.4357</v>
      </c>
    </row>
    <row r="1088" spans="1:2" x14ac:dyDescent="0.15">
      <c r="A1088" s="47">
        <v>42398</v>
      </c>
      <c r="B1088" s="48">
        <v>1.4245000000000001</v>
      </c>
    </row>
    <row r="1089" spans="1:2" x14ac:dyDescent="0.15">
      <c r="A1089" s="47">
        <v>42401</v>
      </c>
      <c r="B1089" s="48">
        <v>1.4429000000000001</v>
      </c>
    </row>
    <row r="1090" spans="1:2" x14ac:dyDescent="0.15">
      <c r="A1090" s="47">
        <v>42402</v>
      </c>
      <c r="B1090" s="48">
        <v>1.4408000000000001</v>
      </c>
    </row>
    <row r="1091" spans="1:2" x14ac:dyDescent="0.15">
      <c r="A1091" s="47">
        <v>42403</v>
      </c>
      <c r="B1091" s="48">
        <v>1.4599</v>
      </c>
    </row>
    <row r="1092" spans="1:2" x14ac:dyDescent="0.15">
      <c r="A1092" s="47">
        <v>42404</v>
      </c>
      <c r="B1092" s="48">
        <v>1.4587000000000001</v>
      </c>
    </row>
    <row r="1093" spans="1:2" x14ac:dyDescent="0.15">
      <c r="A1093" s="47">
        <v>42405</v>
      </c>
      <c r="B1093" s="48">
        <v>1.45</v>
      </c>
    </row>
    <row r="1094" spans="1:2" x14ac:dyDescent="0.15">
      <c r="A1094" s="47">
        <v>42408</v>
      </c>
      <c r="B1094" s="48">
        <v>1.4431</v>
      </c>
    </row>
    <row r="1095" spans="1:2" x14ac:dyDescent="0.15">
      <c r="A1095" s="47">
        <v>42409</v>
      </c>
      <c r="B1095" s="48">
        <v>1.4471000000000001</v>
      </c>
    </row>
    <row r="1096" spans="1:2" x14ac:dyDescent="0.15">
      <c r="A1096" s="47">
        <v>42410</v>
      </c>
      <c r="B1096" s="48">
        <v>1.452</v>
      </c>
    </row>
    <row r="1097" spans="1:2" x14ac:dyDescent="0.15">
      <c r="A1097" s="47">
        <v>42411</v>
      </c>
      <c r="B1097" s="48">
        <v>1.4475</v>
      </c>
    </row>
    <row r="1098" spans="1:2" x14ac:dyDescent="0.15">
      <c r="A1098" s="47">
        <v>42412</v>
      </c>
      <c r="B1098" s="48">
        <v>1.4504999999999999</v>
      </c>
    </row>
    <row r="1099" spans="1:2" x14ac:dyDescent="0.15">
      <c r="A1099" s="47">
        <v>42415</v>
      </c>
      <c r="B1099" s="48">
        <v>1.4433</v>
      </c>
    </row>
    <row r="1100" spans="1:2" x14ac:dyDescent="0.15">
      <c r="A1100" s="47">
        <v>42416</v>
      </c>
      <c r="B1100" s="48">
        <v>1.4302999999999999</v>
      </c>
    </row>
    <row r="1101" spans="1:2" x14ac:dyDescent="0.15">
      <c r="A1101" s="47">
        <v>42417</v>
      </c>
      <c r="B1101" s="48">
        <v>1.4294</v>
      </c>
    </row>
    <row r="1102" spans="1:2" x14ac:dyDescent="0.15">
      <c r="A1102" s="47">
        <v>42418</v>
      </c>
      <c r="B1102" s="48">
        <v>1.4331</v>
      </c>
    </row>
    <row r="1103" spans="1:2" x14ac:dyDescent="0.15">
      <c r="A1103" s="47">
        <v>42419</v>
      </c>
      <c r="B1103" s="48">
        <v>1.4403999999999999</v>
      </c>
    </row>
    <row r="1104" spans="1:2" x14ac:dyDescent="0.15">
      <c r="A1104" s="47">
        <v>42422</v>
      </c>
      <c r="B1104" s="48">
        <v>1.4148000000000001</v>
      </c>
    </row>
    <row r="1105" spans="1:2" x14ac:dyDescent="0.15">
      <c r="A1105" s="47">
        <v>42423</v>
      </c>
      <c r="B1105" s="48">
        <v>1.4021999999999999</v>
      </c>
    </row>
    <row r="1106" spans="1:2" x14ac:dyDescent="0.15">
      <c r="A1106" s="47">
        <v>42424</v>
      </c>
      <c r="B1106" s="48">
        <v>1.3926000000000001</v>
      </c>
    </row>
    <row r="1107" spans="1:2" x14ac:dyDescent="0.15">
      <c r="A1107" s="47">
        <v>42425</v>
      </c>
      <c r="B1107" s="48">
        <v>1.3962000000000001</v>
      </c>
    </row>
    <row r="1108" spans="1:2" x14ac:dyDescent="0.15">
      <c r="A1108" s="47">
        <v>42426</v>
      </c>
      <c r="B1108" s="48">
        <v>1.3868</v>
      </c>
    </row>
    <row r="1109" spans="1:2" x14ac:dyDescent="0.15">
      <c r="A1109" s="47">
        <v>42429</v>
      </c>
      <c r="B1109" s="48">
        <v>1.3915</v>
      </c>
    </row>
    <row r="1110" spans="1:2" x14ac:dyDescent="0.15">
      <c r="A1110" s="47">
        <v>42430</v>
      </c>
      <c r="B1110" s="48">
        <v>1.3946000000000001</v>
      </c>
    </row>
    <row r="1111" spans="1:2" x14ac:dyDescent="0.15">
      <c r="A1111" s="47">
        <v>42431</v>
      </c>
      <c r="B1111" s="48">
        <v>1.4076</v>
      </c>
    </row>
    <row r="1112" spans="1:2" x14ac:dyDescent="0.15">
      <c r="A1112" s="47">
        <v>42432</v>
      </c>
      <c r="B1112" s="48">
        <v>1.4177</v>
      </c>
    </row>
    <row r="1113" spans="1:2" x14ac:dyDescent="0.15">
      <c r="A1113" s="47">
        <v>42433</v>
      </c>
      <c r="B1113" s="48">
        <v>1.4225000000000001</v>
      </c>
    </row>
    <row r="1114" spans="1:2" x14ac:dyDescent="0.15">
      <c r="A1114" s="47">
        <v>42436</v>
      </c>
      <c r="B1114" s="48">
        <v>1.4262999999999999</v>
      </c>
    </row>
    <row r="1115" spans="1:2" x14ac:dyDescent="0.15">
      <c r="A1115" s="47">
        <v>42437</v>
      </c>
      <c r="B1115" s="48">
        <v>1.4214</v>
      </c>
    </row>
    <row r="1116" spans="1:2" x14ac:dyDescent="0.15">
      <c r="A1116" s="47">
        <v>42438</v>
      </c>
      <c r="B1116" s="48">
        <v>1.4215</v>
      </c>
    </row>
    <row r="1117" spans="1:2" x14ac:dyDescent="0.15">
      <c r="A1117" s="47">
        <v>42439</v>
      </c>
      <c r="B1117" s="48">
        <v>1.4275</v>
      </c>
    </row>
    <row r="1118" spans="1:2" x14ac:dyDescent="0.15">
      <c r="A1118" s="47">
        <v>42440</v>
      </c>
      <c r="B1118" s="48">
        <v>1.4384999999999999</v>
      </c>
    </row>
    <row r="1119" spans="1:2" x14ac:dyDescent="0.15">
      <c r="A1119" s="47">
        <v>42443</v>
      </c>
      <c r="B1119" s="48">
        <v>1.43</v>
      </c>
    </row>
    <row r="1120" spans="1:2" x14ac:dyDescent="0.15">
      <c r="A1120" s="47">
        <v>42444</v>
      </c>
      <c r="B1120" s="48">
        <v>1.4151</v>
      </c>
    </row>
    <row r="1121" spans="1:2" x14ac:dyDescent="0.15">
      <c r="A1121" s="47">
        <v>42445</v>
      </c>
      <c r="B1121" s="48">
        <v>1.4257</v>
      </c>
    </row>
    <row r="1122" spans="1:2" x14ac:dyDescent="0.15">
      <c r="A1122" s="47">
        <v>42446</v>
      </c>
      <c r="B1122" s="48">
        <v>1.4478</v>
      </c>
    </row>
    <row r="1123" spans="1:2" x14ac:dyDescent="0.15">
      <c r="A1123" s="47">
        <v>42447</v>
      </c>
      <c r="B1123" s="48">
        <v>1.4478</v>
      </c>
    </row>
    <row r="1124" spans="1:2" x14ac:dyDescent="0.15">
      <c r="A1124" s="47">
        <v>42450</v>
      </c>
      <c r="B1124" s="48">
        <v>1.4366000000000001</v>
      </c>
    </row>
    <row r="1125" spans="1:2" x14ac:dyDescent="0.15">
      <c r="A1125" s="47">
        <v>42451</v>
      </c>
      <c r="B1125" s="48">
        <v>1.4206000000000001</v>
      </c>
    </row>
    <row r="1126" spans="1:2" x14ac:dyDescent="0.15">
      <c r="A1126" s="47">
        <v>42452</v>
      </c>
      <c r="B1126" s="48">
        <v>1.4115</v>
      </c>
    </row>
    <row r="1127" spans="1:2" x14ac:dyDescent="0.15">
      <c r="A1127" s="47">
        <v>42453</v>
      </c>
      <c r="B1127" s="48">
        <v>1.4152</v>
      </c>
    </row>
    <row r="1128" spans="1:2" x14ac:dyDescent="0.15">
      <c r="A1128" s="47">
        <v>42454</v>
      </c>
      <c r="B1128" s="48">
        <v>1.4141999999999999</v>
      </c>
    </row>
    <row r="1129" spans="1:2" x14ac:dyDescent="0.15">
      <c r="A1129" s="47">
        <v>42457</v>
      </c>
      <c r="B1129" s="48">
        <v>1.4252</v>
      </c>
    </row>
    <row r="1130" spans="1:2" x14ac:dyDescent="0.15">
      <c r="A1130" s="47">
        <v>42458</v>
      </c>
      <c r="B1130" s="48">
        <v>1.4379999999999999</v>
      </c>
    </row>
    <row r="1131" spans="1:2" x14ac:dyDescent="0.15">
      <c r="A1131" s="47">
        <v>42459</v>
      </c>
      <c r="B1131" s="48">
        <v>1.4376</v>
      </c>
    </row>
    <row r="1132" spans="1:2" x14ac:dyDescent="0.15">
      <c r="A1132" s="47">
        <v>42460</v>
      </c>
      <c r="B1132" s="48">
        <v>1.4358</v>
      </c>
    </row>
    <row r="1133" spans="1:2" x14ac:dyDescent="0.15">
      <c r="A1133" s="47">
        <v>42461</v>
      </c>
      <c r="B1133" s="48">
        <v>1.4219999999999999</v>
      </c>
    </row>
    <row r="1134" spans="1:2" x14ac:dyDescent="0.15">
      <c r="A1134" s="47">
        <v>42464</v>
      </c>
      <c r="B1134" s="48">
        <v>1.4261999999999999</v>
      </c>
    </row>
    <row r="1135" spans="1:2" x14ac:dyDescent="0.15">
      <c r="A1135" s="47">
        <v>42465</v>
      </c>
      <c r="B1135" s="48">
        <v>1.4158999999999999</v>
      </c>
    </row>
    <row r="1136" spans="1:2" x14ac:dyDescent="0.15">
      <c r="A1136" s="47">
        <v>42466</v>
      </c>
      <c r="B1136" s="48">
        <v>1.4119999999999999</v>
      </c>
    </row>
    <row r="1137" spans="1:2" x14ac:dyDescent="0.15">
      <c r="A1137" s="47">
        <v>42467</v>
      </c>
      <c r="B1137" s="48">
        <v>1.4054</v>
      </c>
    </row>
    <row r="1138" spans="1:2" x14ac:dyDescent="0.15">
      <c r="A1138" s="47">
        <v>42468</v>
      </c>
      <c r="B1138" s="48">
        <v>1.4121999999999999</v>
      </c>
    </row>
    <row r="1139" spans="1:2" x14ac:dyDescent="0.15">
      <c r="A1139" s="47">
        <v>42471</v>
      </c>
      <c r="B1139" s="48">
        <v>1.4238999999999999</v>
      </c>
    </row>
    <row r="1140" spans="1:2" x14ac:dyDescent="0.15">
      <c r="A1140" s="47">
        <v>42472</v>
      </c>
      <c r="B1140" s="48">
        <v>1.4273</v>
      </c>
    </row>
    <row r="1141" spans="1:2" x14ac:dyDescent="0.15">
      <c r="A1141" s="47">
        <v>42473</v>
      </c>
      <c r="B1141" s="48">
        <v>1.4201999999999999</v>
      </c>
    </row>
    <row r="1142" spans="1:2" x14ac:dyDescent="0.15">
      <c r="A1142" s="47">
        <v>42474</v>
      </c>
      <c r="B1142" s="48">
        <v>1.4153</v>
      </c>
    </row>
    <row r="1143" spans="1:2" x14ac:dyDescent="0.15">
      <c r="A1143" s="47">
        <v>42475</v>
      </c>
      <c r="B1143" s="48">
        <v>1.4194</v>
      </c>
    </row>
    <row r="1144" spans="1:2" x14ac:dyDescent="0.15">
      <c r="A1144" s="47">
        <v>42478</v>
      </c>
      <c r="B1144" s="48">
        <v>1.4273</v>
      </c>
    </row>
    <row r="1145" spans="1:2" x14ac:dyDescent="0.15">
      <c r="A1145" s="47">
        <v>42479</v>
      </c>
      <c r="B1145" s="48">
        <v>1.4392</v>
      </c>
    </row>
    <row r="1146" spans="1:2" x14ac:dyDescent="0.15">
      <c r="A1146" s="47">
        <v>42480</v>
      </c>
      <c r="B1146" s="48">
        <v>1.4331</v>
      </c>
    </row>
    <row r="1147" spans="1:2" x14ac:dyDescent="0.15">
      <c r="A1147" s="47">
        <v>42481</v>
      </c>
      <c r="B1147" s="48">
        <v>1.4320999999999999</v>
      </c>
    </row>
    <row r="1148" spans="1:2" x14ac:dyDescent="0.15">
      <c r="A1148" s="47">
        <v>42482</v>
      </c>
      <c r="B1148" s="48">
        <v>1.4400999999999999</v>
      </c>
    </row>
    <row r="1149" spans="1:2" x14ac:dyDescent="0.15">
      <c r="A1149" s="47">
        <v>42485</v>
      </c>
      <c r="B1149" s="48">
        <v>1.448</v>
      </c>
    </row>
    <row r="1150" spans="1:2" x14ac:dyDescent="0.15">
      <c r="A1150" s="47">
        <v>42486</v>
      </c>
      <c r="B1150" s="48">
        <v>1.458</v>
      </c>
    </row>
    <row r="1151" spans="1:2" x14ac:dyDescent="0.15">
      <c r="A1151" s="47">
        <v>42487</v>
      </c>
      <c r="B1151" s="48">
        <v>1.4538</v>
      </c>
    </row>
    <row r="1152" spans="1:2" x14ac:dyDescent="0.15">
      <c r="A1152" s="47">
        <v>42488</v>
      </c>
      <c r="B1152" s="48">
        <v>1.4608000000000001</v>
      </c>
    </row>
    <row r="1153" spans="1:2" x14ac:dyDescent="0.15">
      <c r="A1153" s="47">
        <v>42489</v>
      </c>
      <c r="B1153" s="48">
        <v>1.4611000000000001</v>
      </c>
    </row>
    <row r="1154" spans="1:2" x14ac:dyDescent="0.15">
      <c r="A1154" s="47">
        <v>42492</v>
      </c>
      <c r="B1154" s="48">
        <v>1.4671000000000001</v>
      </c>
    </row>
    <row r="1155" spans="1:2" x14ac:dyDescent="0.15">
      <c r="A1155" s="47">
        <v>42493</v>
      </c>
      <c r="B1155" s="48">
        <v>1.4533</v>
      </c>
    </row>
    <row r="1156" spans="1:2" x14ac:dyDescent="0.15">
      <c r="A1156" s="47">
        <v>42494</v>
      </c>
      <c r="B1156" s="48">
        <v>1.4491000000000001</v>
      </c>
    </row>
    <row r="1157" spans="1:2" x14ac:dyDescent="0.15">
      <c r="A1157" s="47">
        <v>42495</v>
      </c>
      <c r="B1157" s="48">
        <v>1.4480999999999999</v>
      </c>
    </row>
    <row r="1158" spans="1:2" x14ac:dyDescent="0.15">
      <c r="A1158" s="47">
        <v>42496</v>
      </c>
      <c r="B1158" s="48">
        <v>1.4428000000000001</v>
      </c>
    </row>
    <row r="1159" spans="1:2" x14ac:dyDescent="0.15">
      <c r="A1159" s="47">
        <v>42499</v>
      </c>
      <c r="B1159" s="48">
        <v>1.4406000000000001</v>
      </c>
    </row>
    <row r="1160" spans="1:2" x14ac:dyDescent="0.15">
      <c r="A1160" s="47">
        <v>42500</v>
      </c>
      <c r="B1160" s="48">
        <v>1.444</v>
      </c>
    </row>
    <row r="1161" spans="1:2" x14ac:dyDescent="0.15">
      <c r="A1161" s="47">
        <v>42501</v>
      </c>
      <c r="B1161" s="48">
        <v>1.4446000000000001</v>
      </c>
    </row>
    <row r="1162" spans="1:2" x14ac:dyDescent="0.15">
      <c r="A1162" s="47">
        <v>42502</v>
      </c>
      <c r="B1162" s="48">
        <v>1.4444999999999999</v>
      </c>
    </row>
    <row r="1163" spans="1:2" x14ac:dyDescent="0.15">
      <c r="A1163" s="47">
        <v>42503</v>
      </c>
      <c r="B1163" s="48">
        <v>1.4360999999999999</v>
      </c>
    </row>
    <row r="1164" spans="1:2" x14ac:dyDescent="0.15">
      <c r="A1164" s="47">
        <v>42506</v>
      </c>
      <c r="B1164" s="48">
        <v>1.4396</v>
      </c>
    </row>
    <row r="1165" spans="1:2" x14ac:dyDescent="0.15">
      <c r="A1165" s="47">
        <v>42507</v>
      </c>
      <c r="B1165" s="48">
        <v>1.4461999999999999</v>
      </c>
    </row>
    <row r="1166" spans="1:2" x14ac:dyDescent="0.15">
      <c r="A1166" s="47">
        <v>42508</v>
      </c>
      <c r="B1166" s="48">
        <v>1.4595</v>
      </c>
    </row>
    <row r="1167" spans="1:2" x14ac:dyDescent="0.15">
      <c r="A1167" s="47">
        <v>42509</v>
      </c>
      <c r="B1167" s="48">
        <v>1.4607000000000001</v>
      </c>
    </row>
    <row r="1168" spans="1:2" x14ac:dyDescent="0.15">
      <c r="A1168" s="47">
        <v>42510</v>
      </c>
      <c r="B1168" s="48">
        <v>1.45</v>
      </c>
    </row>
    <row r="1169" spans="1:2" x14ac:dyDescent="0.15">
      <c r="A1169" s="47">
        <v>42513</v>
      </c>
      <c r="B1169" s="48">
        <v>1.4481999999999999</v>
      </c>
    </row>
    <row r="1170" spans="1:2" x14ac:dyDescent="0.15">
      <c r="A1170" s="47">
        <v>42514</v>
      </c>
      <c r="B1170" s="48">
        <v>1.4630000000000001</v>
      </c>
    </row>
    <row r="1171" spans="1:2" x14ac:dyDescent="0.15">
      <c r="A1171" s="47">
        <v>42515</v>
      </c>
      <c r="B1171" s="48">
        <v>1.4694</v>
      </c>
    </row>
    <row r="1172" spans="1:2" x14ac:dyDescent="0.15">
      <c r="A1172" s="47">
        <v>42516</v>
      </c>
      <c r="B1172" s="48">
        <v>1.4663999999999999</v>
      </c>
    </row>
    <row r="1173" spans="1:2" x14ac:dyDescent="0.15">
      <c r="A1173" s="47">
        <v>42517</v>
      </c>
      <c r="B1173" s="48">
        <v>1.462</v>
      </c>
    </row>
    <row r="1174" spans="1:2" x14ac:dyDescent="0.15">
      <c r="A1174" s="47">
        <v>42520</v>
      </c>
      <c r="B1174" s="48">
        <v>1.4638</v>
      </c>
    </row>
    <row r="1175" spans="1:2" x14ac:dyDescent="0.15">
      <c r="A1175" s="47">
        <v>42521</v>
      </c>
      <c r="B1175" s="48">
        <v>1.4477</v>
      </c>
    </row>
    <row r="1176" spans="1:2" x14ac:dyDescent="0.15">
      <c r="A1176" s="47">
        <v>42522</v>
      </c>
      <c r="B1176" s="48">
        <v>1.4414</v>
      </c>
    </row>
    <row r="1177" spans="1:2" x14ac:dyDescent="0.15">
      <c r="A1177" s="47">
        <v>42523</v>
      </c>
      <c r="B1177" s="48">
        <v>1.4421999999999999</v>
      </c>
    </row>
    <row r="1178" spans="1:2" x14ac:dyDescent="0.15">
      <c r="A1178" s="47">
        <v>42524</v>
      </c>
      <c r="B1178" s="48">
        <v>1.4519</v>
      </c>
    </row>
    <row r="1179" spans="1:2" x14ac:dyDescent="0.15">
      <c r="A1179" s="47">
        <v>42527</v>
      </c>
      <c r="B1179" s="48">
        <v>1.4436</v>
      </c>
    </row>
    <row r="1180" spans="1:2" x14ac:dyDescent="0.15">
      <c r="A1180" s="47">
        <v>42528</v>
      </c>
      <c r="B1180" s="48">
        <v>1.4541999999999999</v>
      </c>
    </row>
    <row r="1181" spans="1:2" x14ac:dyDescent="0.15">
      <c r="A1181" s="47">
        <v>42529</v>
      </c>
      <c r="B1181" s="48">
        <v>1.4500999999999999</v>
      </c>
    </row>
    <row r="1182" spans="1:2" x14ac:dyDescent="0.15">
      <c r="A1182" s="47">
        <v>42530</v>
      </c>
      <c r="B1182" s="48">
        <v>1.4457</v>
      </c>
    </row>
    <row r="1183" spans="1:2" x14ac:dyDescent="0.15">
      <c r="A1183" s="47">
        <v>42531</v>
      </c>
      <c r="B1183" s="48">
        <v>1.4256</v>
      </c>
    </row>
    <row r="1184" spans="1:2" x14ac:dyDescent="0.15">
      <c r="A1184" s="47">
        <v>42534</v>
      </c>
      <c r="B1184" s="48">
        <v>1.4271</v>
      </c>
    </row>
    <row r="1185" spans="1:2" x14ac:dyDescent="0.15">
      <c r="A1185" s="47">
        <v>42535</v>
      </c>
      <c r="B1185" s="48">
        <v>1.4114</v>
      </c>
    </row>
    <row r="1186" spans="1:2" x14ac:dyDescent="0.15">
      <c r="A1186" s="47">
        <v>42536</v>
      </c>
      <c r="B1186" s="48">
        <v>1.4201999999999999</v>
      </c>
    </row>
    <row r="1187" spans="1:2" x14ac:dyDescent="0.15">
      <c r="A1187" s="47">
        <v>42537</v>
      </c>
      <c r="B1187" s="48">
        <v>1.4200999999999999</v>
      </c>
    </row>
    <row r="1188" spans="1:2" x14ac:dyDescent="0.15">
      <c r="A1188" s="47">
        <v>42538</v>
      </c>
      <c r="B1188" s="48">
        <v>1.4356</v>
      </c>
    </row>
    <row r="1189" spans="1:2" x14ac:dyDescent="0.15">
      <c r="A1189" s="47">
        <v>42541</v>
      </c>
      <c r="B1189" s="48">
        <v>1.4694</v>
      </c>
    </row>
    <row r="1190" spans="1:2" x14ac:dyDescent="0.15">
      <c r="A1190" s="47">
        <v>42542</v>
      </c>
      <c r="B1190" s="48">
        <v>1.4644999999999999</v>
      </c>
    </row>
    <row r="1191" spans="1:2" x14ac:dyDescent="0.15">
      <c r="A1191" s="47">
        <v>42543</v>
      </c>
      <c r="B1191" s="48">
        <v>1.4702999999999999</v>
      </c>
    </row>
    <row r="1192" spans="1:2" x14ac:dyDescent="0.15">
      <c r="A1192" s="47">
        <v>42544</v>
      </c>
      <c r="B1192" s="48">
        <v>1.4878</v>
      </c>
    </row>
    <row r="1193" spans="1:2" x14ac:dyDescent="0.15">
      <c r="A1193" s="47">
        <v>42545</v>
      </c>
      <c r="B1193" s="48">
        <v>1.3677999999999999</v>
      </c>
    </row>
    <row r="1194" spans="1:2" x14ac:dyDescent="0.15">
      <c r="A1194" s="47">
        <v>42548</v>
      </c>
      <c r="B1194" s="48">
        <v>1.3218000000000001</v>
      </c>
    </row>
    <row r="1195" spans="1:2" x14ac:dyDescent="0.15">
      <c r="A1195" s="47">
        <v>42549</v>
      </c>
      <c r="B1195" s="48">
        <v>1.3340000000000001</v>
      </c>
    </row>
    <row r="1196" spans="1:2" x14ac:dyDescent="0.15">
      <c r="A1196" s="47">
        <v>42550</v>
      </c>
      <c r="B1196" s="48">
        <v>1.3424</v>
      </c>
    </row>
    <row r="1197" spans="1:2" x14ac:dyDescent="0.15">
      <c r="A1197" s="47">
        <v>42551</v>
      </c>
      <c r="B1197" s="48">
        <v>1.3306</v>
      </c>
    </row>
    <row r="1198" spans="1:2" x14ac:dyDescent="0.15">
      <c r="A1198" s="47">
        <v>42552</v>
      </c>
      <c r="B1198" s="48">
        <v>1.3261000000000001</v>
      </c>
    </row>
    <row r="1199" spans="1:2" x14ac:dyDescent="0.15">
      <c r="A1199" s="47">
        <v>42555</v>
      </c>
      <c r="B1199" s="48">
        <v>1.3289</v>
      </c>
    </row>
    <row r="1200" spans="1:2" x14ac:dyDescent="0.15">
      <c r="A1200" s="47">
        <v>42556</v>
      </c>
      <c r="B1200" s="48">
        <v>1.3021</v>
      </c>
    </row>
    <row r="1201" spans="1:2" x14ac:dyDescent="0.15">
      <c r="A1201" s="47">
        <v>42557</v>
      </c>
      <c r="B1201" s="48">
        <v>1.2928999999999999</v>
      </c>
    </row>
    <row r="1202" spans="1:2" x14ac:dyDescent="0.15">
      <c r="A1202" s="47">
        <v>42558</v>
      </c>
      <c r="B1202" s="48">
        <v>1.2907</v>
      </c>
    </row>
    <row r="1203" spans="1:2" x14ac:dyDescent="0.15">
      <c r="A1203" s="47">
        <v>42559</v>
      </c>
      <c r="B1203" s="48">
        <v>1.2954000000000001</v>
      </c>
    </row>
    <row r="1204" spans="1:2" x14ac:dyDescent="0.15">
      <c r="A1204" s="47">
        <v>42562</v>
      </c>
      <c r="B1204" s="48">
        <v>1.2992999999999999</v>
      </c>
    </row>
    <row r="1205" spans="1:2" x14ac:dyDescent="0.15">
      <c r="A1205" s="47">
        <v>42563</v>
      </c>
      <c r="B1205" s="48">
        <v>1.3242</v>
      </c>
    </row>
    <row r="1206" spans="1:2" x14ac:dyDescent="0.15">
      <c r="A1206" s="47">
        <v>42564</v>
      </c>
      <c r="B1206" s="48">
        <v>1.3145</v>
      </c>
    </row>
    <row r="1207" spans="1:2" x14ac:dyDescent="0.15">
      <c r="A1207" s="47">
        <v>42565</v>
      </c>
      <c r="B1207" s="48">
        <v>1.3338000000000001</v>
      </c>
    </row>
    <row r="1208" spans="1:2" x14ac:dyDescent="0.15">
      <c r="A1208" s="47">
        <v>42566</v>
      </c>
      <c r="B1208" s="48">
        <v>1.3190999999999999</v>
      </c>
    </row>
    <row r="1209" spans="1:2" x14ac:dyDescent="0.15">
      <c r="A1209" s="47">
        <v>42569</v>
      </c>
      <c r="B1209" s="48">
        <v>1.3254999999999999</v>
      </c>
    </row>
    <row r="1210" spans="1:2" x14ac:dyDescent="0.15">
      <c r="A1210" s="47">
        <v>42570</v>
      </c>
      <c r="B1210" s="48">
        <v>1.3109999999999999</v>
      </c>
    </row>
    <row r="1211" spans="1:2" x14ac:dyDescent="0.15">
      <c r="A1211" s="47">
        <v>42571</v>
      </c>
      <c r="B1211" s="48">
        <v>1.3208</v>
      </c>
    </row>
    <row r="1212" spans="1:2" x14ac:dyDescent="0.15">
      <c r="A1212" s="47">
        <v>42572</v>
      </c>
      <c r="B1212" s="48">
        <v>1.3231999999999999</v>
      </c>
    </row>
    <row r="1213" spans="1:2" x14ac:dyDescent="0.15">
      <c r="A1213" s="47">
        <v>42573</v>
      </c>
      <c r="B1213" s="48">
        <v>1.3106</v>
      </c>
    </row>
    <row r="1214" spans="1:2" x14ac:dyDescent="0.15">
      <c r="A1214" s="47">
        <v>42576</v>
      </c>
      <c r="B1214" s="48">
        <v>1.3140000000000001</v>
      </c>
    </row>
    <row r="1215" spans="1:2" x14ac:dyDescent="0.15">
      <c r="A1215" s="47">
        <v>42577</v>
      </c>
      <c r="B1215" s="48">
        <v>1.3127</v>
      </c>
    </row>
    <row r="1216" spans="1:2" x14ac:dyDescent="0.15">
      <c r="A1216" s="47">
        <v>42578</v>
      </c>
      <c r="B1216" s="48">
        <v>1.3220000000000001</v>
      </c>
    </row>
    <row r="1217" spans="1:2" x14ac:dyDescent="0.15">
      <c r="A1217" s="47">
        <v>42579</v>
      </c>
      <c r="B1217" s="48">
        <v>1.3163</v>
      </c>
    </row>
    <row r="1218" spans="1:2" x14ac:dyDescent="0.15">
      <c r="A1218" s="47">
        <v>42580</v>
      </c>
      <c r="B1218" s="48">
        <v>1.3226</v>
      </c>
    </row>
    <row r="1219" spans="1:2" x14ac:dyDescent="0.15">
      <c r="A1219" s="47">
        <v>42583</v>
      </c>
      <c r="B1219" s="48">
        <v>1.3172999999999999</v>
      </c>
    </row>
    <row r="1220" spans="1:2" x14ac:dyDescent="0.15">
      <c r="A1220" s="47">
        <v>42584</v>
      </c>
      <c r="B1220" s="48">
        <v>1.3354999999999999</v>
      </c>
    </row>
    <row r="1221" spans="1:2" x14ac:dyDescent="0.15">
      <c r="A1221" s="47">
        <v>42585</v>
      </c>
      <c r="B1221" s="48">
        <v>1.3326</v>
      </c>
    </row>
    <row r="1222" spans="1:2" x14ac:dyDescent="0.15">
      <c r="A1222" s="47">
        <v>42586</v>
      </c>
      <c r="B1222" s="48">
        <v>1.3103</v>
      </c>
    </row>
    <row r="1223" spans="1:2" x14ac:dyDescent="0.15">
      <c r="A1223" s="47">
        <v>42587</v>
      </c>
      <c r="B1223" s="48">
        <v>1.3068</v>
      </c>
    </row>
    <row r="1224" spans="1:2" x14ac:dyDescent="0.15">
      <c r="A1224" s="47">
        <v>42590</v>
      </c>
      <c r="B1224" s="48">
        <v>1.3038000000000001</v>
      </c>
    </row>
    <row r="1225" spans="1:2" x14ac:dyDescent="0.15">
      <c r="A1225" s="47">
        <v>42591</v>
      </c>
      <c r="B1225" s="48">
        <v>1.3</v>
      </c>
    </row>
    <row r="1226" spans="1:2" x14ac:dyDescent="0.15">
      <c r="A1226" s="47">
        <v>42592</v>
      </c>
      <c r="B1226" s="48">
        <v>1.3008999999999999</v>
      </c>
    </row>
    <row r="1227" spans="1:2" x14ac:dyDescent="0.15">
      <c r="A1227" s="47">
        <v>42593</v>
      </c>
      <c r="B1227" s="48">
        <v>1.2954000000000001</v>
      </c>
    </row>
    <row r="1228" spans="1:2" x14ac:dyDescent="0.15">
      <c r="A1228" s="47">
        <v>42594</v>
      </c>
      <c r="B1228" s="48">
        <v>1.2918000000000001</v>
      </c>
    </row>
    <row r="1229" spans="1:2" x14ac:dyDescent="0.15">
      <c r="A1229" s="47">
        <v>42597</v>
      </c>
      <c r="B1229" s="48">
        <v>1.2879</v>
      </c>
    </row>
    <row r="1230" spans="1:2" x14ac:dyDescent="0.15">
      <c r="A1230" s="47">
        <v>42598</v>
      </c>
      <c r="B1230" s="48">
        <v>1.3044</v>
      </c>
    </row>
    <row r="1231" spans="1:2" x14ac:dyDescent="0.15">
      <c r="A1231" s="47">
        <v>42599</v>
      </c>
      <c r="B1231" s="48">
        <v>1.3039000000000001</v>
      </c>
    </row>
    <row r="1232" spans="1:2" x14ac:dyDescent="0.15">
      <c r="A1232" s="47">
        <v>42600</v>
      </c>
      <c r="B1232" s="48">
        <v>1.3166</v>
      </c>
    </row>
    <row r="1233" spans="1:2" x14ac:dyDescent="0.15">
      <c r="A1233" s="47">
        <v>42601</v>
      </c>
      <c r="B1233" s="48">
        <v>1.3073999999999999</v>
      </c>
    </row>
    <row r="1234" spans="1:2" x14ac:dyDescent="0.15">
      <c r="A1234" s="47">
        <v>42604</v>
      </c>
      <c r="B1234" s="48">
        <v>1.3137000000000001</v>
      </c>
    </row>
    <row r="1235" spans="1:2" x14ac:dyDescent="0.15">
      <c r="A1235" s="47">
        <v>42605</v>
      </c>
      <c r="B1235" s="48">
        <v>1.3190999999999999</v>
      </c>
    </row>
    <row r="1236" spans="1:2" x14ac:dyDescent="0.15">
      <c r="A1236" s="47">
        <v>42606</v>
      </c>
      <c r="B1236" s="48">
        <v>1.3230999999999999</v>
      </c>
    </row>
    <row r="1237" spans="1:2" x14ac:dyDescent="0.15">
      <c r="A1237" s="47">
        <v>42607</v>
      </c>
      <c r="B1237" s="48">
        <v>1.3189</v>
      </c>
    </row>
    <row r="1238" spans="1:2" x14ac:dyDescent="0.15">
      <c r="A1238" s="47">
        <v>42608</v>
      </c>
      <c r="B1238" s="48">
        <v>1.3137000000000001</v>
      </c>
    </row>
    <row r="1239" spans="1:2" x14ac:dyDescent="0.15">
      <c r="A1239" s="47">
        <v>42611</v>
      </c>
      <c r="B1239" s="48">
        <v>1.3102</v>
      </c>
    </row>
    <row r="1240" spans="1:2" x14ac:dyDescent="0.15">
      <c r="A1240" s="47">
        <v>42612</v>
      </c>
      <c r="B1240" s="48">
        <v>1.3081</v>
      </c>
    </row>
    <row r="1241" spans="1:2" x14ac:dyDescent="0.15">
      <c r="A1241" s="47">
        <v>42613</v>
      </c>
      <c r="B1241" s="48">
        <v>1.3137000000000001</v>
      </c>
    </row>
    <row r="1242" spans="1:2" x14ac:dyDescent="0.15">
      <c r="A1242" s="47">
        <v>42614</v>
      </c>
      <c r="B1242" s="48">
        <v>1.3267</v>
      </c>
    </row>
    <row r="1243" spans="1:2" x14ac:dyDescent="0.15">
      <c r="A1243" s="47">
        <v>42615</v>
      </c>
      <c r="B1243" s="48">
        <v>1.3288</v>
      </c>
    </row>
    <row r="1244" spans="1:2" x14ac:dyDescent="0.15">
      <c r="A1244" s="47">
        <v>42618</v>
      </c>
      <c r="B1244" s="48">
        <v>1.33</v>
      </c>
    </row>
    <row r="1245" spans="1:2" x14ac:dyDescent="0.15">
      <c r="A1245" s="47">
        <v>42619</v>
      </c>
      <c r="B1245" s="48">
        <v>1.3436999999999999</v>
      </c>
    </row>
    <row r="1246" spans="1:2" x14ac:dyDescent="0.15">
      <c r="A1246" s="47">
        <v>42620</v>
      </c>
      <c r="B1246" s="48">
        <v>1.3337000000000001</v>
      </c>
    </row>
    <row r="1247" spans="1:2" x14ac:dyDescent="0.15">
      <c r="A1247" s="47">
        <v>42621</v>
      </c>
      <c r="B1247" s="48">
        <v>1.3293999999999999</v>
      </c>
    </row>
    <row r="1248" spans="1:2" x14ac:dyDescent="0.15">
      <c r="A1248" s="47">
        <v>42622</v>
      </c>
      <c r="B1248" s="48">
        <v>1.3262</v>
      </c>
    </row>
    <row r="1249" spans="1:2" x14ac:dyDescent="0.15">
      <c r="A1249" s="47">
        <v>42625</v>
      </c>
      <c r="B1249" s="48">
        <v>1.3332999999999999</v>
      </c>
    </row>
    <row r="1250" spans="1:2" x14ac:dyDescent="0.15">
      <c r="A1250" s="47">
        <v>42626</v>
      </c>
      <c r="B1250" s="48">
        <v>1.3192999999999999</v>
      </c>
    </row>
    <row r="1251" spans="1:2" x14ac:dyDescent="0.15">
      <c r="A1251" s="47">
        <v>42627</v>
      </c>
      <c r="B1251" s="48">
        <v>1.3232999999999999</v>
      </c>
    </row>
    <row r="1252" spans="1:2" x14ac:dyDescent="0.15">
      <c r="A1252" s="47">
        <v>42628</v>
      </c>
      <c r="B1252" s="48">
        <v>1.3237000000000001</v>
      </c>
    </row>
    <row r="1253" spans="1:2" x14ac:dyDescent="0.15">
      <c r="A1253" s="47">
        <v>42629</v>
      </c>
      <c r="B1253" s="48">
        <v>1.2995000000000001</v>
      </c>
    </row>
    <row r="1254" spans="1:2" x14ac:dyDescent="0.15">
      <c r="A1254" s="47">
        <v>42632</v>
      </c>
      <c r="B1254" s="48">
        <v>1.3025</v>
      </c>
    </row>
    <row r="1255" spans="1:2" x14ac:dyDescent="0.15">
      <c r="A1255" s="47">
        <v>42633</v>
      </c>
      <c r="B1255" s="48">
        <v>1.2988</v>
      </c>
    </row>
    <row r="1256" spans="1:2" x14ac:dyDescent="0.15">
      <c r="A1256" s="47">
        <v>42634</v>
      </c>
      <c r="B1256" s="48">
        <v>1.3025</v>
      </c>
    </row>
    <row r="1257" spans="1:2" x14ac:dyDescent="0.15">
      <c r="A1257" s="47">
        <v>42635</v>
      </c>
      <c r="B1257" s="48">
        <v>1.3072999999999999</v>
      </c>
    </row>
    <row r="1258" spans="1:2" x14ac:dyDescent="0.15">
      <c r="A1258" s="47">
        <v>42636</v>
      </c>
      <c r="B1258" s="48">
        <v>1.2971999999999999</v>
      </c>
    </row>
    <row r="1259" spans="1:2" x14ac:dyDescent="0.15">
      <c r="A1259" s="47">
        <v>42639</v>
      </c>
      <c r="B1259" s="48">
        <v>1.2975000000000001</v>
      </c>
    </row>
    <row r="1260" spans="1:2" x14ac:dyDescent="0.15">
      <c r="A1260" s="47">
        <v>42640</v>
      </c>
      <c r="B1260" s="48">
        <v>1.302</v>
      </c>
    </row>
    <row r="1261" spans="1:2" x14ac:dyDescent="0.15">
      <c r="A1261" s="47">
        <v>42641</v>
      </c>
      <c r="B1261" s="48">
        <v>1.3017000000000001</v>
      </c>
    </row>
    <row r="1262" spans="1:2" x14ac:dyDescent="0.15">
      <c r="A1262" s="47">
        <v>42642</v>
      </c>
      <c r="B1262" s="48">
        <v>1.2967</v>
      </c>
    </row>
    <row r="1263" spans="1:2" x14ac:dyDescent="0.15">
      <c r="A1263" s="47">
        <v>42643</v>
      </c>
      <c r="B1263" s="48">
        <v>1.2975000000000001</v>
      </c>
    </row>
    <row r="1264" spans="1:2" x14ac:dyDescent="0.15">
      <c r="A1264" s="47">
        <v>42646</v>
      </c>
      <c r="B1264" s="48">
        <v>1.2841</v>
      </c>
    </row>
    <row r="1265" spans="1:2" x14ac:dyDescent="0.15">
      <c r="A1265" s="47">
        <v>42647</v>
      </c>
      <c r="B1265" s="48">
        <v>1.2726</v>
      </c>
    </row>
    <row r="1266" spans="1:2" x14ac:dyDescent="0.15">
      <c r="A1266" s="47">
        <v>42648</v>
      </c>
      <c r="B1266" s="48">
        <v>1.2747999999999999</v>
      </c>
    </row>
    <row r="1267" spans="1:2" x14ac:dyDescent="0.15">
      <c r="A1267" s="47">
        <v>42649</v>
      </c>
      <c r="B1267" s="48">
        <v>1.2614000000000001</v>
      </c>
    </row>
    <row r="1268" spans="1:2" x14ac:dyDescent="0.15">
      <c r="A1268" s="47">
        <v>42650</v>
      </c>
      <c r="B1268" s="48">
        <v>1.2432000000000001</v>
      </c>
    </row>
    <row r="1269" spans="1:2" x14ac:dyDescent="0.15">
      <c r="A1269" s="47">
        <v>42653</v>
      </c>
      <c r="B1269" s="48">
        <v>1.2358</v>
      </c>
    </row>
    <row r="1270" spans="1:2" x14ac:dyDescent="0.15">
      <c r="A1270" s="47">
        <v>42654</v>
      </c>
      <c r="B1270" s="48">
        <v>1.2117</v>
      </c>
    </row>
    <row r="1271" spans="1:2" x14ac:dyDescent="0.15">
      <c r="A1271" s="47">
        <v>42655</v>
      </c>
      <c r="B1271" s="48">
        <v>1.2205999999999999</v>
      </c>
    </row>
    <row r="1272" spans="1:2" x14ac:dyDescent="0.15">
      <c r="A1272" s="47">
        <v>42656</v>
      </c>
      <c r="B1272" s="48">
        <v>1.2251000000000001</v>
      </c>
    </row>
    <row r="1273" spans="1:2" x14ac:dyDescent="0.15">
      <c r="A1273" s="47">
        <v>42657</v>
      </c>
      <c r="B1273" s="48">
        <v>1.2184999999999999</v>
      </c>
    </row>
    <row r="1274" spans="1:2" x14ac:dyDescent="0.15">
      <c r="A1274" s="47">
        <v>42660</v>
      </c>
      <c r="B1274" s="48">
        <v>1.2181</v>
      </c>
    </row>
    <row r="1275" spans="1:2" x14ac:dyDescent="0.15">
      <c r="A1275" s="47">
        <v>42661</v>
      </c>
      <c r="B1275" s="48">
        <v>1.2296</v>
      </c>
    </row>
    <row r="1276" spans="1:2" x14ac:dyDescent="0.15">
      <c r="A1276" s="47">
        <v>42662</v>
      </c>
      <c r="B1276" s="48">
        <v>1.2281</v>
      </c>
    </row>
    <row r="1277" spans="1:2" x14ac:dyDescent="0.15">
      <c r="A1277" s="47">
        <v>42663</v>
      </c>
      <c r="B1277" s="48">
        <v>1.2250000000000001</v>
      </c>
    </row>
    <row r="1278" spans="1:2" x14ac:dyDescent="0.15">
      <c r="A1278" s="47">
        <v>42664</v>
      </c>
      <c r="B1278" s="48">
        <v>1.2233000000000001</v>
      </c>
    </row>
    <row r="1279" spans="1:2" x14ac:dyDescent="0.15">
      <c r="A1279" s="47">
        <v>42667</v>
      </c>
      <c r="B1279" s="48">
        <v>1.2235</v>
      </c>
    </row>
    <row r="1280" spans="1:2" x14ac:dyDescent="0.15">
      <c r="A1280" s="47">
        <v>42668</v>
      </c>
      <c r="B1280" s="48">
        <v>1.2185999999999999</v>
      </c>
    </row>
    <row r="1281" spans="1:2" x14ac:dyDescent="0.15">
      <c r="A1281" s="47">
        <v>42669</v>
      </c>
      <c r="B1281" s="48">
        <v>1.2245999999999999</v>
      </c>
    </row>
    <row r="1282" spans="1:2" x14ac:dyDescent="0.15">
      <c r="A1282" s="47">
        <v>42670</v>
      </c>
      <c r="B1282" s="48">
        <v>1.2161</v>
      </c>
    </row>
    <row r="1283" spans="1:2" x14ac:dyDescent="0.15">
      <c r="A1283" s="47">
        <v>42671</v>
      </c>
      <c r="B1283" s="48">
        <v>1.218</v>
      </c>
    </row>
    <row r="1284" spans="1:2" x14ac:dyDescent="0.15">
      <c r="A1284" s="47">
        <v>42674</v>
      </c>
      <c r="B1284" s="48">
        <v>1.2242</v>
      </c>
    </row>
    <row r="1285" spans="1:2" x14ac:dyDescent="0.15">
      <c r="A1285" s="47">
        <v>42675</v>
      </c>
      <c r="B1285" s="48">
        <v>1.2241</v>
      </c>
    </row>
    <row r="1286" spans="1:2" x14ac:dyDescent="0.15">
      <c r="A1286" s="47">
        <v>42676</v>
      </c>
      <c r="B1286" s="48">
        <v>1.2297</v>
      </c>
    </row>
    <row r="1287" spans="1:2" x14ac:dyDescent="0.15">
      <c r="A1287" s="47">
        <v>42677</v>
      </c>
      <c r="B1287" s="48">
        <v>1.246</v>
      </c>
    </row>
    <row r="1288" spans="1:2" x14ac:dyDescent="0.15">
      <c r="A1288" s="47">
        <v>42678</v>
      </c>
      <c r="B1288" s="48">
        <v>1.2517</v>
      </c>
    </row>
    <row r="1289" spans="1:2" x14ac:dyDescent="0.15">
      <c r="A1289" s="47">
        <v>42681</v>
      </c>
      <c r="B1289" s="48">
        <v>1.2396</v>
      </c>
    </row>
    <row r="1290" spans="1:2" x14ac:dyDescent="0.15">
      <c r="A1290" s="47">
        <v>42682</v>
      </c>
      <c r="B1290" s="48">
        <v>1.2377</v>
      </c>
    </row>
    <row r="1291" spans="1:2" x14ac:dyDescent="0.15">
      <c r="A1291" s="47">
        <v>42683</v>
      </c>
      <c r="B1291" s="48">
        <v>1.2403999999999999</v>
      </c>
    </row>
    <row r="1292" spans="1:2" x14ac:dyDescent="0.15">
      <c r="A1292" s="47">
        <v>42684</v>
      </c>
      <c r="B1292" s="48">
        <v>1.2554000000000001</v>
      </c>
    </row>
    <row r="1293" spans="1:2" x14ac:dyDescent="0.15">
      <c r="A1293" s="47">
        <v>42685</v>
      </c>
      <c r="B1293" s="48">
        <v>1.2599</v>
      </c>
    </row>
    <row r="1294" spans="1:2" x14ac:dyDescent="0.15">
      <c r="A1294" s="47">
        <v>42688</v>
      </c>
      <c r="B1294" s="48">
        <v>1.2484999999999999</v>
      </c>
    </row>
    <row r="1295" spans="1:2" x14ac:dyDescent="0.15">
      <c r="A1295" s="47">
        <v>42689</v>
      </c>
      <c r="B1295" s="48">
        <v>1.2453000000000001</v>
      </c>
    </row>
    <row r="1296" spans="1:2" x14ac:dyDescent="0.15">
      <c r="A1296" s="47">
        <v>42690</v>
      </c>
      <c r="B1296" s="48">
        <v>1.2441</v>
      </c>
    </row>
    <row r="1297" spans="1:2" x14ac:dyDescent="0.15">
      <c r="A1297" s="47">
        <v>42691</v>
      </c>
      <c r="B1297" s="48">
        <v>1.2415</v>
      </c>
    </row>
    <row r="1298" spans="1:2" x14ac:dyDescent="0.15">
      <c r="A1298" s="47">
        <v>42692</v>
      </c>
      <c r="B1298" s="48">
        <v>1.2343</v>
      </c>
    </row>
    <row r="1299" spans="1:2" x14ac:dyDescent="0.15">
      <c r="A1299" s="47">
        <v>42695</v>
      </c>
      <c r="B1299" s="48">
        <v>1.2490000000000001</v>
      </c>
    </row>
    <row r="1300" spans="1:2" x14ac:dyDescent="0.15">
      <c r="A1300" s="47">
        <v>42696</v>
      </c>
      <c r="B1300" s="48">
        <v>1.2422</v>
      </c>
    </row>
    <row r="1301" spans="1:2" x14ac:dyDescent="0.15">
      <c r="A1301" s="47">
        <v>42697</v>
      </c>
      <c r="B1301" s="48">
        <v>1.2438</v>
      </c>
    </row>
    <row r="1302" spans="1:2" x14ac:dyDescent="0.15">
      <c r="A1302" s="47">
        <v>42698</v>
      </c>
      <c r="B1302" s="48">
        <v>1.2447999999999999</v>
      </c>
    </row>
    <row r="1303" spans="1:2" x14ac:dyDescent="0.15">
      <c r="A1303" s="47">
        <v>42699</v>
      </c>
      <c r="B1303" s="48">
        <v>1.2474000000000001</v>
      </c>
    </row>
    <row r="1304" spans="1:2" x14ac:dyDescent="0.15">
      <c r="A1304" s="47">
        <v>42702</v>
      </c>
      <c r="B1304" s="48">
        <v>1.2413000000000001</v>
      </c>
    </row>
    <row r="1305" spans="1:2" x14ac:dyDescent="0.15">
      <c r="A1305" s="47">
        <v>42703</v>
      </c>
      <c r="B1305" s="48">
        <v>1.2487999999999999</v>
      </c>
    </row>
    <row r="1306" spans="1:2" x14ac:dyDescent="0.15">
      <c r="A1306" s="47">
        <v>42704</v>
      </c>
      <c r="B1306" s="48">
        <v>1.2504</v>
      </c>
    </row>
    <row r="1307" spans="1:2" x14ac:dyDescent="0.15">
      <c r="A1307" s="47">
        <v>42705</v>
      </c>
      <c r="B1307" s="48">
        <v>1.2591000000000001</v>
      </c>
    </row>
    <row r="1308" spans="1:2" x14ac:dyDescent="0.15">
      <c r="A1308" s="47">
        <v>42706</v>
      </c>
      <c r="B1308" s="48">
        <v>1.2719</v>
      </c>
    </row>
    <row r="1309" spans="1:2" x14ac:dyDescent="0.15">
      <c r="A1309" s="47">
        <v>42709</v>
      </c>
      <c r="B1309" s="48">
        <v>1.2732000000000001</v>
      </c>
    </row>
    <row r="1310" spans="1:2" x14ac:dyDescent="0.15">
      <c r="A1310" s="47">
        <v>42710</v>
      </c>
      <c r="B1310" s="48">
        <v>1.2675000000000001</v>
      </c>
    </row>
    <row r="1311" spans="1:2" x14ac:dyDescent="0.15">
      <c r="A1311" s="47">
        <v>42711</v>
      </c>
      <c r="B1311" s="48">
        <v>1.262</v>
      </c>
    </row>
    <row r="1312" spans="1:2" x14ac:dyDescent="0.15">
      <c r="A1312" s="47">
        <v>42712</v>
      </c>
      <c r="B1312" s="48">
        <v>1.2584</v>
      </c>
    </row>
    <row r="1313" spans="1:2" x14ac:dyDescent="0.15">
      <c r="A1313" s="47">
        <v>42713</v>
      </c>
      <c r="B1313" s="48">
        <v>1.2574000000000001</v>
      </c>
    </row>
    <row r="1314" spans="1:2" x14ac:dyDescent="0.15">
      <c r="A1314" s="47">
        <v>42716</v>
      </c>
      <c r="B1314" s="48">
        <v>1.2675000000000001</v>
      </c>
    </row>
    <row r="1315" spans="1:2" x14ac:dyDescent="0.15">
      <c r="A1315" s="47">
        <v>42717</v>
      </c>
      <c r="B1315" s="48">
        <v>1.2656000000000001</v>
      </c>
    </row>
    <row r="1316" spans="1:2" x14ac:dyDescent="0.15">
      <c r="A1316" s="47">
        <v>42718</v>
      </c>
      <c r="B1316" s="48">
        <v>1.2563</v>
      </c>
    </row>
    <row r="1317" spans="1:2" x14ac:dyDescent="0.15">
      <c r="A1317" s="47">
        <v>42719</v>
      </c>
      <c r="B1317" s="48">
        <v>1.2415</v>
      </c>
    </row>
    <row r="1318" spans="1:2" x14ac:dyDescent="0.15">
      <c r="A1318" s="47">
        <v>42720</v>
      </c>
      <c r="B1318" s="48">
        <v>1.2486999999999999</v>
      </c>
    </row>
    <row r="1319" spans="1:2" x14ac:dyDescent="0.15">
      <c r="A1319" s="47">
        <v>42723</v>
      </c>
      <c r="B1319" s="48">
        <v>1.2398</v>
      </c>
    </row>
    <row r="1320" spans="1:2" x14ac:dyDescent="0.15">
      <c r="A1320" s="47">
        <v>42724</v>
      </c>
      <c r="B1320" s="48">
        <v>1.2364999999999999</v>
      </c>
    </row>
    <row r="1321" spans="1:2" x14ac:dyDescent="0.15">
      <c r="A1321" s="47">
        <v>42725</v>
      </c>
      <c r="B1321" s="48">
        <v>1.2352000000000001</v>
      </c>
    </row>
    <row r="1322" spans="1:2" x14ac:dyDescent="0.15">
      <c r="A1322" s="47">
        <v>42726</v>
      </c>
      <c r="B1322" s="48">
        <v>1.2282</v>
      </c>
    </row>
    <row r="1323" spans="1:2" x14ac:dyDescent="0.15">
      <c r="A1323" s="47">
        <v>42727</v>
      </c>
      <c r="B1323" s="48">
        <v>1.2290000000000001</v>
      </c>
    </row>
    <row r="1324" spans="1:2" x14ac:dyDescent="0.15">
      <c r="A1324" s="47">
        <v>42730</v>
      </c>
      <c r="B1324" s="48">
        <v>1.2281</v>
      </c>
    </row>
    <row r="1325" spans="1:2" x14ac:dyDescent="0.15">
      <c r="A1325" s="47">
        <v>42731</v>
      </c>
      <c r="B1325" s="48">
        <v>1.2270000000000001</v>
      </c>
    </row>
    <row r="1326" spans="1:2" x14ac:dyDescent="0.15">
      <c r="A1326" s="47">
        <v>42732</v>
      </c>
      <c r="B1326" s="48">
        <v>1.2223999999999999</v>
      </c>
    </row>
    <row r="1327" spans="1:2" x14ac:dyDescent="0.15">
      <c r="A1327" s="47">
        <v>42733</v>
      </c>
      <c r="B1327" s="48">
        <v>1.2257</v>
      </c>
    </row>
    <row r="1328" spans="1:2" x14ac:dyDescent="0.15">
      <c r="A1328" s="47">
        <v>42734</v>
      </c>
      <c r="B1328" s="48">
        <v>1.2336</v>
      </c>
    </row>
    <row r="1329" spans="1:2" x14ac:dyDescent="0.15">
      <c r="A1329" s="47">
        <v>42737</v>
      </c>
      <c r="B1329" s="48">
        <v>1.2275</v>
      </c>
    </row>
    <row r="1330" spans="1:2" x14ac:dyDescent="0.15">
      <c r="A1330" s="47">
        <v>42738</v>
      </c>
      <c r="B1330" s="48">
        <v>1.2237</v>
      </c>
    </row>
    <row r="1331" spans="1:2" x14ac:dyDescent="0.15">
      <c r="A1331" s="47">
        <v>42739</v>
      </c>
      <c r="B1331" s="48">
        <v>1.2317</v>
      </c>
    </row>
    <row r="1332" spans="1:2" x14ac:dyDescent="0.15">
      <c r="A1332" s="47">
        <v>42740</v>
      </c>
      <c r="B1332" s="48">
        <v>1.2413000000000001</v>
      </c>
    </row>
    <row r="1333" spans="1:2" x14ac:dyDescent="0.15">
      <c r="A1333" s="47">
        <v>42741</v>
      </c>
      <c r="B1333" s="48">
        <v>1.228</v>
      </c>
    </row>
    <row r="1334" spans="1:2" x14ac:dyDescent="0.15">
      <c r="A1334" s="47">
        <v>42744</v>
      </c>
      <c r="B1334" s="48">
        <v>1.216</v>
      </c>
    </row>
    <row r="1335" spans="1:2" x14ac:dyDescent="0.15">
      <c r="A1335" s="47">
        <v>42745</v>
      </c>
      <c r="B1335" s="48">
        <v>1.2176</v>
      </c>
    </row>
    <row r="1336" spans="1:2" x14ac:dyDescent="0.15">
      <c r="A1336" s="47">
        <v>42746</v>
      </c>
      <c r="B1336" s="48">
        <v>1.2211000000000001</v>
      </c>
    </row>
    <row r="1337" spans="1:2" x14ac:dyDescent="0.15">
      <c r="A1337" s="47">
        <v>42747</v>
      </c>
      <c r="B1337" s="48">
        <v>1.2161</v>
      </c>
    </row>
    <row r="1338" spans="1:2" x14ac:dyDescent="0.15">
      <c r="A1338" s="47">
        <v>42748</v>
      </c>
      <c r="B1338" s="48">
        <v>1.2176</v>
      </c>
    </row>
    <row r="1339" spans="1:2" x14ac:dyDescent="0.15">
      <c r="A1339" s="47">
        <v>42751</v>
      </c>
      <c r="B1339" s="48">
        <v>1.2042999999999999</v>
      </c>
    </row>
    <row r="1340" spans="1:2" x14ac:dyDescent="0.15">
      <c r="A1340" s="47">
        <v>42752</v>
      </c>
      <c r="B1340" s="48">
        <v>1.2413000000000001</v>
      </c>
    </row>
    <row r="1341" spans="1:2" x14ac:dyDescent="0.15">
      <c r="A1341" s="47">
        <v>42753</v>
      </c>
      <c r="B1341" s="48">
        <v>1.2257</v>
      </c>
    </row>
    <row r="1342" spans="1:2" x14ac:dyDescent="0.15">
      <c r="A1342" s="47">
        <v>42754</v>
      </c>
      <c r="B1342" s="48">
        <v>1.2341</v>
      </c>
    </row>
    <row r="1343" spans="1:2" x14ac:dyDescent="0.15">
      <c r="A1343" s="47">
        <v>42755</v>
      </c>
      <c r="B1343" s="48">
        <v>1.2374000000000001</v>
      </c>
    </row>
    <row r="1344" spans="1:2" x14ac:dyDescent="0.15">
      <c r="A1344" s="47">
        <v>42758</v>
      </c>
      <c r="B1344" s="48">
        <v>1.2531000000000001</v>
      </c>
    </row>
    <row r="1345" spans="1:2" x14ac:dyDescent="0.15">
      <c r="A1345" s="47">
        <v>42759</v>
      </c>
      <c r="B1345" s="48">
        <v>1.252</v>
      </c>
    </row>
    <row r="1346" spans="1:2" x14ac:dyDescent="0.15">
      <c r="A1346" s="47">
        <v>42760</v>
      </c>
      <c r="B1346" s="48">
        <v>1.2629999999999999</v>
      </c>
    </row>
    <row r="1347" spans="1:2" x14ac:dyDescent="0.15">
      <c r="A1347" s="47">
        <v>42761</v>
      </c>
      <c r="B1347" s="48">
        <v>1.2585999999999999</v>
      </c>
    </row>
    <row r="1348" spans="1:2" x14ac:dyDescent="0.15">
      <c r="A1348" s="47">
        <v>42762</v>
      </c>
      <c r="B1348" s="48">
        <v>1.2545999999999999</v>
      </c>
    </row>
    <row r="1349" spans="1:2" x14ac:dyDescent="0.15">
      <c r="A1349" s="47">
        <v>42765</v>
      </c>
      <c r="B1349" s="48">
        <v>1.2482</v>
      </c>
    </row>
    <row r="1350" spans="1:2" x14ac:dyDescent="0.15">
      <c r="A1350" s="47">
        <v>42766</v>
      </c>
      <c r="B1350" s="48">
        <v>1.2577</v>
      </c>
    </row>
    <row r="1351" spans="1:2" x14ac:dyDescent="0.15">
      <c r="A1351" s="47">
        <v>42767</v>
      </c>
      <c r="B1351" s="48">
        <v>1.2652000000000001</v>
      </c>
    </row>
    <row r="1352" spans="1:2" x14ac:dyDescent="0.15">
      <c r="A1352" s="47">
        <v>42768</v>
      </c>
      <c r="B1352" s="48">
        <v>1.252</v>
      </c>
    </row>
    <row r="1353" spans="1:2" x14ac:dyDescent="0.15">
      <c r="A1353" s="47">
        <v>42769</v>
      </c>
      <c r="B1353" s="48">
        <v>1.2484999999999999</v>
      </c>
    </row>
    <row r="1354" spans="1:2" x14ac:dyDescent="0.15">
      <c r="A1354" s="47">
        <v>42772</v>
      </c>
      <c r="B1354" s="48">
        <v>1.2468999999999999</v>
      </c>
    </row>
    <row r="1355" spans="1:2" x14ac:dyDescent="0.15">
      <c r="A1355" s="47">
        <v>42773</v>
      </c>
      <c r="B1355" s="48">
        <v>1.2509999999999999</v>
      </c>
    </row>
    <row r="1356" spans="1:2" x14ac:dyDescent="0.15">
      <c r="A1356" s="47">
        <v>42774</v>
      </c>
      <c r="B1356" s="48">
        <v>1.2537</v>
      </c>
    </row>
    <row r="1357" spans="1:2" x14ac:dyDescent="0.15">
      <c r="A1357" s="47">
        <v>42775</v>
      </c>
      <c r="B1357" s="48">
        <v>1.2494000000000001</v>
      </c>
    </row>
    <row r="1358" spans="1:2" x14ac:dyDescent="0.15">
      <c r="A1358" s="47">
        <v>42776</v>
      </c>
      <c r="B1358" s="48">
        <v>1.2488999999999999</v>
      </c>
    </row>
    <row r="1359" spans="1:2" x14ac:dyDescent="0.15">
      <c r="A1359" s="47">
        <v>42779</v>
      </c>
      <c r="B1359" s="48">
        <v>1.2525999999999999</v>
      </c>
    </row>
    <row r="1360" spans="1:2" x14ac:dyDescent="0.15">
      <c r="A1360" s="47">
        <v>42780</v>
      </c>
      <c r="B1360" s="48">
        <v>1.2466999999999999</v>
      </c>
    </row>
    <row r="1361" spans="1:2" x14ac:dyDescent="0.15">
      <c r="A1361" s="47">
        <v>42781</v>
      </c>
      <c r="B1361" s="48">
        <v>1.2458</v>
      </c>
    </row>
    <row r="1362" spans="1:2" x14ac:dyDescent="0.15">
      <c r="A1362" s="47">
        <v>42782</v>
      </c>
      <c r="B1362" s="48">
        <v>1.2486999999999999</v>
      </c>
    </row>
    <row r="1363" spans="1:2" x14ac:dyDescent="0.15">
      <c r="A1363" s="47">
        <v>42783</v>
      </c>
      <c r="B1363" s="48">
        <v>1.2412000000000001</v>
      </c>
    </row>
    <row r="1364" spans="1:2" x14ac:dyDescent="0.15">
      <c r="A1364" s="47">
        <v>42786</v>
      </c>
      <c r="B1364" s="48">
        <v>1.246</v>
      </c>
    </row>
    <row r="1365" spans="1:2" x14ac:dyDescent="0.15">
      <c r="A1365" s="47">
        <v>42787</v>
      </c>
      <c r="B1365" s="48">
        <v>1.2472000000000001</v>
      </c>
    </row>
    <row r="1366" spans="1:2" x14ac:dyDescent="0.15">
      <c r="A1366" s="47">
        <v>42788</v>
      </c>
      <c r="B1366" s="48">
        <v>1.2448999999999999</v>
      </c>
    </row>
    <row r="1367" spans="1:2" x14ac:dyDescent="0.15">
      <c r="A1367" s="47">
        <v>42789</v>
      </c>
      <c r="B1367" s="48">
        <v>1.2552000000000001</v>
      </c>
    </row>
    <row r="1368" spans="1:2" x14ac:dyDescent="0.15">
      <c r="A1368" s="47">
        <v>42790</v>
      </c>
      <c r="B1368" s="48">
        <v>1.2464999999999999</v>
      </c>
    </row>
    <row r="1369" spans="1:2" x14ac:dyDescent="0.15">
      <c r="A1369" s="47">
        <v>42793</v>
      </c>
      <c r="B1369" s="48">
        <v>1.2442</v>
      </c>
    </row>
    <row r="1370" spans="1:2" x14ac:dyDescent="0.15">
      <c r="A1370" s="47">
        <v>42794</v>
      </c>
      <c r="B1370" s="48">
        <v>1.238</v>
      </c>
    </row>
    <row r="1371" spans="1:2" x14ac:dyDescent="0.15">
      <c r="A1371" s="47">
        <v>42795</v>
      </c>
      <c r="B1371" s="48">
        <v>1.2293000000000001</v>
      </c>
    </row>
    <row r="1372" spans="1:2" x14ac:dyDescent="0.15">
      <c r="A1372" s="47">
        <v>42796</v>
      </c>
      <c r="B1372" s="48">
        <v>1.2264999999999999</v>
      </c>
    </row>
    <row r="1373" spans="1:2" x14ac:dyDescent="0.15">
      <c r="A1373" s="47">
        <v>42797</v>
      </c>
      <c r="B1373" s="48">
        <v>1.2290000000000001</v>
      </c>
    </row>
    <row r="1374" spans="1:2" x14ac:dyDescent="0.15">
      <c r="A1374" s="47">
        <v>42800</v>
      </c>
      <c r="B1374" s="48">
        <v>1.2235</v>
      </c>
    </row>
    <row r="1375" spans="1:2" x14ac:dyDescent="0.15">
      <c r="A1375" s="47">
        <v>42801</v>
      </c>
      <c r="B1375" s="48">
        <v>1.2199</v>
      </c>
    </row>
    <row r="1376" spans="1:2" x14ac:dyDescent="0.15">
      <c r="A1376" s="47">
        <v>42802</v>
      </c>
      <c r="B1376" s="48">
        <v>1.2168000000000001</v>
      </c>
    </row>
    <row r="1377" spans="1:2" x14ac:dyDescent="0.15">
      <c r="A1377" s="47">
        <v>42803</v>
      </c>
      <c r="B1377" s="48">
        <v>1.2165999999999999</v>
      </c>
    </row>
    <row r="1378" spans="1:2" x14ac:dyDescent="0.15">
      <c r="A1378" s="47">
        <v>42804</v>
      </c>
      <c r="B1378" s="48">
        <v>1.2169000000000001</v>
      </c>
    </row>
    <row r="1379" spans="1:2" x14ac:dyDescent="0.15">
      <c r="A1379" s="47">
        <v>42807</v>
      </c>
      <c r="B1379" s="48">
        <v>1.2218</v>
      </c>
    </row>
    <row r="1380" spans="1:2" x14ac:dyDescent="0.15">
      <c r="A1380" s="47">
        <v>42808</v>
      </c>
      <c r="B1380" s="48">
        <v>1.2152000000000001</v>
      </c>
    </row>
    <row r="1381" spans="1:2" x14ac:dyDescent="0.15">
      <c r="A1381" s="47">
        <v>42809</v>
      </c>
      <c r="B1381" s="48">
        <v>1.2291000000000001</v>
      </c>
    </row>
    <row r="1382" spans="1:2" x14ac:dyDescent="0.15">
      <c r="A1382" s="47">
        <v>42810</v>
      </c>
      <c r="B1382" s="48">
        <v>1.2358</v>
      </c>
    </row>
    <row r="1383" spans="1:2" x14ac:dyDescent="0.15">
      <c r="A1383" s="47">
        <v>42811</v>
      </c>
      <c r="B1383" s="48">
        <v>1.2392000000000001</v>
      </c>
    </row>
    <row r="1384" spans="1:2" x14ac:dyDescent="0.15">
      <c r="A1384" s="47">
        <v>42814</v>
      </c>
      <c r="B1384" s="48">
        <v>1.2356</v>
      </c>
    </row>
    <row r="1385" spans="1:2" x14ac:dyDescent="0.15">
      <c r="A1385" s="47">
        <v>42815</v>
      </c>
      <c r="B1385" s="48">
        <v>1.2477</v>
      </c>
    </row>
    <row r="1386" spans="1:2" x14ac:dyDescent="0.15">
      <c r="A1386" s="47">
        <v>42816</v>
      </c>
      <c r="B1386" s="48">
        <v>1.2482</v>
      </c>
    </row>
    <row r="1387" spans="1:2" x14ac:dyDescent="0.15">
      <c r="A1387" s="47">
        <v>42817</v>
      </c>
      <c r="B1387" s="48">
        <v>1.2519</v>
      </c>
    </row>
    <row r="1388" spans="1:2" x14ac:dyDescent="0.15">
      <c r="A1388" s="47">
        <v>42818</v>
      </c>
      <c r="B1388" s="48">
        <v>1.2467999999999999</v>
      </c>
    </row>
    <row r="1389" spans="1:2" x14ac:dyDescent="0.15">
      <c r="A1389" s="47">
        <v>42821</v>
      </c>
      <c r="B1389" s="48">
        <v>1.2553000000000001</v>
      </c>
    </row>
    <row r="1390" spans="1:2" x14ac:dyDescent="0.15">
      <c r="A1390" s="47">
        <v>42822</v>
      </c>
      <c r="B1390" s="48">
        <v>1.2447999999999999</v>
      </c>
    </row>
    <row r="1391" spans="1:2" x14ac:dyDescent="0.15">
      <c r="A1391" s="47">
        <v>42823</v>
      </c>
      <c r="B1391" s="48">
        <v>1.2432000000000001</v>
      </c>
    </row>
    <row r="1392" spans="1:2" x14ac:dyDescent="0.15">
      <c r="A1392" s="47">
        <v>42824</v>
      </c>
      <c r="B1392" s="48">
        <v>1.2464999999999999</v>
      </c>
    </row>
    <row r="1393" spans="1:2" x14ac:dyDescent="0.15">
      <c r="A1393" s="47">
        <v>42825</v>
      </c>
      <c r="B1393" s="48">
        <v>1.2544999999999999</v>
      </c>
    </row>
    <row r="1394" spans="1:2" x14ac:dyDescent="0.15">
      <c r="A1394" s="47">
        <v>42828</v>
      </c>
      <c r="B1394" s="48">
        <v>1.2485999999999999</v>
      </c>
    </row>
    <row r="1395" spans="1:2" x14ac:dyDescent="0.15">
      <c r="A1395" s="47">
        <v>42829</v>
      </c>
      <c r="B1395" s="48">
        <v>1.2439</v>
      </c>
    </row>
    <row r="1396" spans="1:2" x14ac:dyDescent="0.15">
      <c r="A1396" s="47">
        <v>42830</v>
      </c>
      <c r="B1396" s="48">
        <v>1.248</v>
      </c>
    </row>
    <row r="1397" spans="1:2" x14ac:dyDescent="0.15">
      <c r="A1397" s="47">
        <v>42831</v>
      </c>
      <c r="B1397" s="48">
        <v>1.2465999999999999</v>
      </c>
    </row>
    <row r="1398" spans="1:2" x14ac:dyDescent="0.15">
      <c r="A1398" s="47">
        <v>42832</v>
      </c>
      <c r="B1398" s="48">
        <v>1.2372000000000001</v>
      </c>
    </row>
    <row r="1399" spans="1:2" x14ac:dyDescent="0.15">
      <c r="A1399" s="47">
        <v>42835</v>
      </c>
      <c r="B1399" s="48">
        <v>1.2410000000000001</v>
      </c>
    </row>
    <row r="1400" spans="1:2" x14ac:dyDescent="0.15">
      <c r="A1400" s="47">
        <v>42836</v>
      </c>
      <c r="B1400" s="48">
        <v>1.2487999999999999</v>
      </c>
    </row>
    <row r="1401" spans="1:2" x14ac:dyDescent="0.15">
      <c r="A1401" s="47">
        <v>42837</v>
      </c>
      <c r="B1401" s="48">
        <v>1.2538</v>
      </c>
    </row>
    <row r="1402" spans="1:2" x14ac:dyDescent="0.15">
      <c r="A1402" s="47">
        <v>42838</v>
      </c>
      <c r="B1402" s="48">
        <v>1.2504999999999999</v>
      </c>
    </row>
    <row r="1403" spans="1:2" x14ac:dyDescent="0.15">
      <c r="A1403" s="47">
        <v>42839</v>
      </c>
      <c r="B1403" s="48">
        <v>1.2522</v>
      </c>
    </row>
    <row r="1404" spans="1:2" x14ac:dyDescent="0.15">
      <c r="A1404" s="47">
        <v>42842</v>
      </c>
      <c r="B1404" s="48">
        <v>1.2561</v>
      </c>
    </row>
    <row r="1405" spans="1:2" x14ac:dyDescent="0.15">
      <c r="A1405" s="47">
        <v>42843</v>
      </c>
      <c r="B1405" s="48">
        <v>1.2836000000000001</v>
      </c>
    </row>
    <row r="1406" spans="1:2" x14ac:dyDescent="0.15">
      <c r="A1406" s="47">
        <v>42844</v>
      </c>
      <c r="B1406" s="48">
        <v>1.2777000000000001</v>
      </c>
    </row>
    <row r="1407" spans="1:2" x14ac:dyDescent="0.15">
      <c r="A1407" s="47">
        <v>42845</v>
      </c>
      <c r="B1407" s="48">
        <v>1.2807999999999999</v>
      </c>
    </row>
    <row r="1408" spans="1:2" x14ac:dyDescent="0.15">
      <c r="A1408" s="47">
        <v>42846</v>
      </c>
      <c r="B1408" s="48">
        <v>1.2811999999999999</v>
      </c>
    </row>
    <row r="1409" spans="1:2" x14ac:dyDescent="0.15">
      <c r="A1409" s="47">
        <v>42849</v>
      </c>
      <c r="B1409" s="48">
        <v>1.2793000000000001</v>
      </c>
    </row>
    <row r="1410" spans="1:2" x14ac:dyDescent="0.15">
      <c r="A1410" s="47">
        <v>42850</v>
      </c>
      <c r="B1410" s="48">
        <v>1.284</v>
      </c>
    </row>
    <row r="1411" spans="1:2" x14ac:dyDescent="0.15">
      <c r="A1411" s="47">
        <v>42851</v>
      </c>
      <c r="B1411" s="48">
        <v>1.2846</v>
      </c>
    </row>
    <row r="1412" spans="1:2" x14ac:dyDescent="0.15">
      <c r="A1412" s="47">
        <v>42852</v>
      </c>
      <c r="B1412" s="48">
        <v>1.2902</v>
      </c>
    </row>
    <row r="1413" spans="1:2" x14ac:dyDescent="0.15">
      <c r="A1413" s="47">
        <v>42853</v>
      </c>
      <c r="B1413" s="48">
        <v>1.2946</v>
      </c>
    </row>
    <row r="1414" spans="1:2" x14ac:dyDescent="0.15">
      <c r="A1414" s="47">
        <v>42856</v>
      </c>
      <c r="B1414" s="48">
        <v>1.2885</v>
      </c>
    </row>
    <row r="1415" spans="1:2" x14ac:dyDescent="0.15">
      <c r="A1415" s="47">
        <v>42857</v>
      </c>
      <c r="B1415" s="48">
        <v>1.2935000000000001</v>
      </c>
    </row>
    <row r="1416" spans="1:2" x14ac:dyDescent="0.15">
      <c r="A1416" s="47">
        <v>42858</v>
      </c>
      <c r="B1416" s="48">
        <v>1.2863</v>
      </c>
    </row>
    <row r="1417" spans="1:2" x14ac:dyDescent="0.15">
      <c r="A1417" s="47">
        <v>42859</v>
      </c>
      <c r="B1417" s="48">
        <v>1.292</v>
      </c>
    </row>
    <row r="1418" spans="1:2" x14ac:dyDescent="0.15">
      <c r="A1418" s="47">
        <v>42860</v>
      </c>
      <c r="B1418" s="48">
        <v>1.2979000000000001</v>
      </c>
    </row>
    <row r="1419" spans="1:2" x14ac:dyDescent="0.15">
      <c r="A1419" s="47">
        <v>42863</v>
      </c>
      <c r="B1419" s="48">
        <v>1.2938000000000001</v>
      </c>
    </row>
    <row r="1420" spans="1:2" x14ac:dyDescent="0.15">
      <c r="A1420" s="47">
        <v>42864</v>
      </c>
      <c r="B1420" s="48">
        <v>1.2932999999999999</v>
      </c>
    </row>
    <row r="1421" spans="1:2" x14ac:dyDescent="0.15">
      <c r="A1421" s="47">
        <v>42865</v>
      </c>
      <c r="B1421" s="48">
        <v>1.2936000000000001</v>
      </c>
    </row>
    <row r="1422" spans="1:2" x14ac:dyDescent="0.15">
      <c r="A1422" s="47">
        <v>42866</v>
      </c>
      <c r="B1422" s="48">
        <v>1.2881</v>
      </c>
    </row>
    <row r="1423" spans="1:2" x14ac:dyDescent="0.15">
      <c r="A1423" s="47">
        <v>42867</v>
      </c>
      <c r="B1423" s="48">
        <v>1.2889999999999999</v>
      </c>
    </row>
    <row r="1424" spans="1:2" x14ac:dyDescent="0.15">
      <c r="A1424" s="47">
        <v>42870</v>
      </c>
      <c r="B1424" s="48">
        <v>1.2892999999999999</v>
      </c>
    </row>
    <row r="1425" spans="1:2" x14ac:dyDescent="0.15">
      <c r="A1425" s="47">
        <v>42871</v>
      </c>
      <c r="B1425" s="48">
        <v>1.2916000000000001</v>
      </c>
    </row>
    <row r="1426" spans="1:2" x14ac:dyDescent="0.15">
      <c r="A1426" s="47">
        <v>42872</v>
      </c>
      <c r="B1426" s="48">
        <v>1.2968999999999999</v>
      </c>
    </row>
    <row r="1427" spans="1:2" x14ac:dyDescent="0.15">
      <c r="A1427" s="47">
        <v>42873</v>
      </c>
      <c r="B1427" s="48">
        <v>1.2936000000000001</v>
      </c>
    </row>
    <row r="1428" spans="1:2" x14ac:dyDescent="0.15">
      <c r="A1428" s="47">
        <v>42874</v>
      </c>
      <c r="B1428" s="48">
        <v>1.3033999999999999</v>
      </c>
    </row>
    <row r="1429" spans="1:2" x14ac:dyDescent="0.15">
      <c r="A1429" s="47">
        <v>42877</v>
      </c>
      <c r="B1429" s="48">
        <v>1.2998000000000001</v>
      </c>
    </row>
    <row r="1430" spans="1:2" x14ac:dyDescent="0.15">
      <c r="A1430" s="47">
        <v>42878</v>
      </c>
      <c r="B1430" s="48">
        <v>1.2959000000000001</v>
      </c>
    </row>
    <row r="1431" spans="1:2" x14ac:dyDescent="0.15">
      <c r="A1431" s="47">
        <v>42879</v>
      </c>
      <c r="B1431" s="48">
        <v>1.2972999999999999</v>
      </c>
    </row>
    <row r="1432" spans="1:2" x14ac:dyDescent="0.15">
      <c r="A1432" s="47">
        <v>42880</v>
      </c>
      <c r="B1432" s="48">
        <v>1.2939000000000001</v>
      </c>
    </row>
    <row r="1433" spans="1:2" x14ac:dyDescent="0.15">
      <c r="A1433" s="47">
        <v>42881</v>
      </c>
      <c r="B1433" s="48">
        <v>1.2802</v>
      </c>
    </row>
    <row r="1434" spans="1:2" x14ac:dyDescent="0.15">
      <c r="A1434" s="47">
        <v>42884</v>
      </c>
      <c r="B1434" s="48">
        <v>1.2838000000000001</v>
      </c>
    </row>
    <row r="1435" spans="1:2" x14ac:dyDescent="0.15">
      <c r="A1435" s="47">
        <v>42885</v>
      </c>
      <c r="B1435" s="48">
        <v>1.2857000000000001</v>
      </c>
    </row>
    <row r="1436" spans="1:2" x14ac:dyDescent="0.15">
      <c r="A1436" s="47">
        <v>42886</v>
      </c>
      <c r="B1436" s="48">
        <v>1.2887999999999999</v>
      </c>
    </row>
    <row r="1437" spans="1:2" x14ac:dyDescent="0.15">
      <c r="A1437" s="47">
        <v>42887</v>
      </c>
      <c r="B1437" s="48">
        <v>1.2879</v>
      </c>
    </row>
    <row r="1438" spans="1:2" x14ac:dyDescent="0.15">
      <c r="A1438" s="47">
        <v>42888</v>
      </c>
      <c r="B1438" s="48">
        <v>1.2882</v>
      </c>
    </row>
    <row r="1439" spans="1:2" x14ac:dyDescent="0.15">
      <c r="A1439" s="47">
        <v>42891</v>
      </c>
      <c r="B1439" s="48">
        <v>1.2901</v>
      </c>
    </row>
    <row r="1440" spans="1:2" x14ac:dyDescent="0.15">
      <c r="A1440" s="47">
        <v>42892</v>
      </c>
      <c r="B1440" s="48">
        <v>1.2907</v>
      </c>
    </row>
    <row r="1441" spans="1:2" x14ac:dyDescent="0.15">
      <c r="A1441" s="47">
        <v>42893</v>
      </c>
      <c r="B1441" s="48">
        <v>1.2959000000000001</v>
      </c>
    </row>
    <row r="1442" spans="1:2" x14ac:dyDescent="0.15">
      <c r="A1442" s="47">
        <v>42894</v>
      </c>
      <c r="B1442" s="48">
        <v>1.2950999999999999</v>
      </c>
    </row>
    <row r="1443" spans="1:2" x14ac:dyDescent="0.15">
      <c r="A1443" s="47">
        <v>42895</v>
      </c>
      <c r="B1443" s="48">
        <v>1.274</v>
      </c>
    </row>
    <row r="1444" spans="1:2" x14ac:dyDescent="0.15">
      <c r="A1444" s="47">
        <v>42898</v>
      </c>
      <c r="B1444" s="48">
        <v>1.2655000000000001</v>
      </c>
    </row>
    <row r="1445" spans="1:2" x14ac:dyDescent="0.15">
      <c r="A1445" s="47">
        <v>42899</v>
      </c>
      <c r="B1445" s="48">
        <v>1.2749999999999999</v>
      </c>
    </row>
    <row r="1446" spans="1:2" x14ac:dyDescent="0.15">
      <c r="A1446" s="47">
        <v>42900</v>
      </c>
      <c r="B1446" s="48">
        <v>1.2750999999999999</v>
      </c>
    </row>
    <row r="1447" spans="1:2" x14ac:dyDescent="0.15">
      <c r="A1447" s="47">
        <v>42901</v>
      </c>
      <c r="B1447" s="48">
        <v>1.2754000000000001</v>
      </c>
    </row>
    <row r="1448" spans="1:2" x14ac:dyDescent="0.15">
      <c r="A1448" s="47">
        <v>42902</v>
      </c>
      <c r="B1448" s="48">
        <v>1.2774000000000001</v>
      </c>
    </row>
    <row r="1449" spans="1:2" x14ac:dyDescent="0.15">
      <c r="A1449" s="47">
        <v>42905</v>
      </c>
      <c r="B1449" s="48">
        <v>1.2732000000000001</v>
      </c>
    </row>
    <row r="1450" spans="1:2" x14ac:dyDescent="0.15">
      <c r="A1450" s="47">
        <v>42906</v>
      </c>
      <c r="B1450" s="48">
        <v>1.2628999999999999</v>
      </c>
    </row>
    <row r="1451" spans="1:2" x14ac:dyDescent="0.15">
      <c r="A1451" s="47">
        <v>42907</v>
      </c>
      <c r="B1451" s="48">
        <v>1.2667999999999999</v>
      </c>
    </row>
    <row r="1452" spans="1:2" x14ac:dyDescent="0.15">
      <c r="A1452" s="47">
        <v>42908</v>
      </c>
      <c r="B1452" s="48">
        <v>1.2681</v>
      </c>
    </row>
    <row r="1453" spans="1:2" x14ac:dyDescent="0.15">
      <c r="A1453" s="47">
        <v>42909</v>
      </c>
      <c r="B1453" s="48">
        <v>1.2716000000000001</v>
      </c>
    </row>
    <row r="1454" spans="1:2" x14ac:dyDescent="0.15">
      <c r="A1454" s="47">
        <v>42912</v>
      </c>
      <c r="B1454" s="48">
        <v>1.272</v>
      </c>
    </row>
    <row r="1455" spans="1:2" x14ac:dyDescent="0.15">
      <c r="A1455" s="47">
        <v>42913</v>
      </c>
      <c r="B1455" s="48">
        <v>1.2814000000000001</v>
      </c>
    </row>
    <row r="1456" spans="1:2" x14ac:dyDescent="0.15">
      <c r="A1456" s="47">
        <v>42914</v>
      </c>
      <c r="B1456" s="48">
        <v>1.2924</v>
      </c>
    </row>
    <row r="1457" spans="1:2" x14ac:dyDescent="0.15">
      <c r="A1457" s="47">
        <v>42915</v>
      </c>
      <c r="B1457" s="48">
        <v>1.3004</v>
      </c>
    </row>
    <row r="1458" spans="1:2" x14ac:dyDescent="0.15">
      <c r="A1458" s="47">
        <v>42916</v>
      </c>
      <c r="B1458" s="48">
        <v>1.3025</v>
      </c>
    </row>
    <row r="1459" spans="1:2" x14ac:dyDescent="0.15">
      <c r="A1459" s="47">
        <v>42919</v>
      </c>
      <c r="B1459" s="48">
        <v>1.2936000000000001</v>
      </c>
    </row>
    <row r="1460" spans="1:2" x14ac:dyDescent="0.15">
      <c r="A1460" s="47">
        <v>42920</v>
      </c>
      <c r="B1460" s="48">
        <v>1.2916000000000001</v>
      </c>
    </row>
    <row r="1461" spans="1:2" x14ac:dyDescent="0.15">
      <c r="A1461" s="47">
        <v>42921</v>
      </c>
      <c r="B1461" s="48">
        <v>1.2934000000000001</v>
      </c>
    </row>
    <row r="1462" spans="1:2" x14ac:dyDescent="0.15">
      <c r="A1462" s="47">
        <v>42922</v>
      </c>
      <c r="B1462" s="48">
        <v>1.2968999999999999</v>
      </c>
    </row>
    <row r="1463" spans="1:2" x14ac:dyDescent="0.15">
      <c r="A1463" s="47">
        <v>42923</v>
      </c>
      <c r="B1463" s="48">
        <v>1.2888999999999999</v>
      </c>
    </row>
    <row r="1464" spans="1:2" x14ac:dyDescent="0.15">
      <c r="A1464" s="47">
        <v>42926</v>
      </c>
      <c r="B1464" s="48">
        <v>1.2875000000000001</v>
      </c>
    </row>
    <row r="1465" spans="1:2" x14ac:dyDescent="0.15">
      <c r="A1465" s="47">
        <v>42927</v>
      </c>
      <c r="B1465" s="48">
        <v>1.2844</v>
      </c>
    </row>
    <row r="1466" spans="1:2" x14ac:dyDescent="0.15">
      <c r="A1466" s="47">
        <v>42928</v>
      </c>
      <c r="B1466" s="48">
        <v>1.2882</v>
      </c>
    </row>
    <row r="1467" spans="1:2" x14ac:dyDescent="0.15">
      <c r="A1467" s="47">
        <v>42929</v>
      </c>
      <c r="B1467" s="48">
        <v>1.2935000000000001</v>
      </c>
    </row>
    <row r="1468" spans="1:2" x14ac:dyDescent="0.15">
      <c r="A1468" s="47">
        <v>42930</v>
      </c>
      <c r="B1468" s="48">
        <v>1.3095000000000001</v>
      </c>
    </row>
    <row r="1469" spans="1:2" x14ac:dyDescent="0.15">
      <c r="A1469" s="47">
        <v>42933</v>
      </c>
      <c r="B1469" s="48">
        <v>1.3053999999999999</v>
      </c>
    </row>
    <row r="1470" spans="1:2" x14ac:dyDescent="0.15">
      <c r="A1470" s="47">
        <v>42934</v>
      </c>
      <c r="B1470" s="48">
        <v>1.3038000000000001</v>
      </c>
    </row>
    <row r="1471" spans="1:2" x14ac:dyDescent="0.15">
      <c r="A1471" s="47">
        <v>42935</v>
      </c>
      <c r="B1471" s="48">
        <v>1.3017000000000001</v>
      </c>
    </row>
    <row r="1472" spans="1:2" x14ac:dyDescent="0.15">
      <c r="A1472" s="47">
        <v>42936</v>
      </c>
      <c r="B1472" s="48">
        <v>1.2969999999999999</v>
      </c>
    </row>
    <row r="1473" spans="1:2" x14ac:dyDescent="0.15">
      <c r="A1473" s="47">
        <v>42937</v>
      </c>
      <c r="B1473" s="48">
        <v>1.2991999999999999</v>
      </c>
    </row>
    <row r="1474" spans="1:2" x14ac:dyDescent="0.15">
      <c r="A1474" s="47">
        <v>42940</v>
      </c>
      <c r="B1474" s="48">
        <v>1.3026</v>
      </c>
    </row>
    <row r="1475" spans="1:2" x14ac:dyDescent="0.15">
      <c r="A1475" s="47">
        <v>42941</v>
      </c>
      <c r="B1475" s="48">
        <v>1.3023</v>
      </c>
    </row>
    <row r="1476" spans="1:2" x14ac:dyDescent="0.15">
      <c r="A1476" s="47">
        <v>42942</v>
      </c>
      <c r="B1476" s="48">
        <v>1.3119000000000001</v>
      </c>
    </row>
    <row r="1477" spans="1:2" x14ac:dyDescent="0.15">
      <c r="A1477" s="47">
        <v>42943</v>
      </c>
      <c r="B1477" s="48">
        <v>1.3066</v>
      </c>
    </row>
    <row r="1478" spans="1:2" x14ac:dyDescent="0.15">
      <c r="A1478" s="47">
        <v>42944</v>
      </c>
      <c r="B1478" s="48">
        <v>1.3130999999999999</v>
      </c>
    </row>
    <row r="1479" spans="1:2" x14ac:dyDescent="0.15">
      <c r="A1479" s="47">
        <v>42947</v>
      </c>
      <c r="B1479" s="48">
        <v>1.3211999999999999</v>
      </c>
    </row>
    <row r="1480" spans="1:2" x14ac:dyDescent="0.15">
      <c r="A1480" s="47">
        <v>42948</v>
      </c>
      <c r="B1480" s="48">
        <v>1.3199000000000001</v>
      </c>
    </row>
    <row r="1481" spans="1:2" x14ac:dyDescent="0.15">
      <c r="A1481" s="47">
        <v>42949</v>
      </c>
      <c r="B1481" s="48">
        <v>1.3221000000000001</v>
      </c>
    </row>
    <row r="1482" spans="1:2" x14ac:dyDescent="0.15">
      <c r="A1482" s="47">
        <v>42950</v>
      </c>
      <c r="B1482" s="48">
        <v>1.3137000000000001</v>
      </c>
    </row>
    <row r="1483" spans="1:2" x14ac:dyDescent="0.15">
      <c r="A1483" s="47">
        <v>42951</v>
      </c>
      <c r="B1483" s="48">
        <v>1.3035000000000001</v>
      </c>
    </row>
    <row r="1484" spans="1:2" x14ac:dyDescent="0.15">
      <c r="A1484" s="47">
        <v>42954</v>
      </c>
      <c r="B1484" s="48">
        <v>1.3031999999999999</v>
      </c>
    </row>
    <row r="1485" spans="1:2" x14ac:dyDescent="0.15">
      <c r="A1485" s="47">
        <v>42955</v>
      </c>
      <c r="B1485" s="48">
        <v>1.2988999999999999</v>
      </c>
    </row>
    <row r="1486" spans="1:2" x14ac:dyDescent="0.15">
      <c r="A1486" s="47">
        <v>42956</v>
      </c>
      <c r="B1486" s="48">
        <v>1.3004</v>
      </c>
    </row>
    <row r="1487" spans="1:2" x14ac:dyDescent="0.15">
      <c r="A1487" s="47">
        <v>42957</v>
      </c>
      <c r="B1487" s="48">
        <v>1.2974000000000001</v>
      </c>
    </row>
    <row r="1488" spans="1:2" x14ac:dyDescent="0.15">
      <c r="A1488" s="47">
        <v>42958</v>
      </c>
      <c r="B1488" s="48">
        <v>1.3010999999999999</v>
      </c>
    </row>
    <row r="1489" spans="1:2" x14ac:dyDescent="0.15">
      <c r="A1489" s="47">
        <v>42961</v>
      </c>
      <c r="B1489" s="48">
        <v>1.2963</v>
      </c>
    </row>
    <row r="1490" spans="1:2" x14ac:dyDescent="0.15">
      <c r="A1490" s="47">
        <v>42962</v>
      </c>
      <c r="B1490" s="48">
        <v>1.2868999999999999</v>
      </c>
    </row>
    <row r="1491" spans="1:2" x14ac:dyDescent="0.15">
      <c r="A1491" s="47">
        <v>42963</v>
      </c>
      <c r="B1491" s="48">
        <v>1.2887999999999999</v>
      </c>
    </row>
    <row r="1492" spans="1:2" x14ac:dyDescent="0.15">
      <c r="A1492" s="47">
        <v>42964</v>
      </c>
      <c r="B1492" s="48">
        <v>1.2863</v>
      </c>
    </row>
    <row r="1493" spans="1:2" x14ac:dyDescent="0.15">
      <c r="A1493" s="47">
        <v>42965</v>
      </c>
      <c r="B1493" s="48">
        <v>1.2870999999999999</v>
      </c>
    </row>
    <row r="1494" spans="1:2" x14ac:dyDescent="0.15">
      <c r="A1494" s="47">
        <v>42968</v>
      </c>
      <c r="B1494" s="48">
        <v>1.2899</v>
      </c>
    </row>
    <row r="1495" spans="1:2" x14ac:dyDescent="0.15">
      <c r="A1495" s="47">
        <v>42969</v>
      </c>
      <c r="B1495" s="48">
        <v>1.2823</v>
      </c>
    </row>
    <row r="1496" spans="1:2" x14ac:dyDescent="0.15">
      <c r="A1496" s="47">
        <v>42970</v>
      </c>
      <c r="B1496" s="48">
        <v>1.2798</v>
      </c>
    </row>
    <row r="1497" spans="1:2" x14ac:dyDescent="0.15">
      <c r="A1497" s="47">
        <v>42971</v>
      </c>
      <c r="B1497" s="48">
        <v>1.2799</v>
      </c>
    </row>
    <row r="1498" spans="1:2" x14ac:dyDescent="0.15">
      <c r="A1498" s="47">
        <v>42972</v>
      </c>
      <c r="B1498" s="48">
        <v>1.2884</v>
      </c>
    </row>
    <row r="1499" spans="1:2" x14ac:dyDescent="0.15">
      <c r="A1499" s="47">
        <v>42975</v>
      </c>
      <c r="B1499" s="48">
        <v>1.2930999999999999</v>
      </c>
    </row>
    <row r="1500" spans="1:2" x14ac:dyDescent="0.15">
      <c r="A1500" s="47">
        <v>42976</v>
      </c>
      <c r="B1500" s="48">
        <v>1.2919</v>
      </c>
    </row>
    <row r="1501" spans="1:2" x14ac:dyDescent="0.15">
      <c r="A1501" s="47">
        <v>42977</v>
      </c>
      <c r="B1501" s="48">
        <v>1.2924</v>
      </c>
    </row>
    <row r="1502" spans="1:2" x14ac:dyDescent="0.15">
      <c r="A1502" s="47">
        <v>42978</v>
      </c>
      <c r="B1502" s="48">
        <v>1.2928999999999999</v>
      </c>
    </row>
    <row r="1503" spans="1:2" x14ac:dyDescent="0.15">
      <c r="A1503" s="47">
        <v>42979</v>
      </c>
      <c r="B1503" s="48">
        <v>1.2948999999999999</v>
      </c>
    </row>
    <row r="1504" spans="1:2" x14ac:dyDescent="0.15">
      <c r="A1504" s="47">
        <v>42982</v>
      </c>
      <c r="B1504" s="48">
        <v>1.2930999999999999</v>
      </c>
    </row>
    <row r="1505" spans="1:2" x14ac:dyDescent="0.15">
      <c r="A1505" s="47">
        <v>42983</v>
      </c>
      <c r="B1505" s="48">
        <v>1.3030999999999999</v>
      </c>
    </row>
    <row r="1506" spans="1:2" x14ac:dyDescent="0.15">
      <c r="A1506" s="47">
        <v>42984</v>
      </c>
      <c r="B1506" s="48">
        <v>1.3041</v>
      </c>
    </row>
    <row r="1507" spans="1:2" x14ac:dyDescent="0.15">
      <c r="A1507" s="47">
        <v>42985</v>
      </c>
      <c r="B1507" s="48">
        <v>1.3099000000000001</v>
      </c>
    </row>
    <row r="1508" spans="1:2" x14ac:dyDescent="0.15">
      <c r="A1508" s="47">
        <v>42986</v>
      </c>
      <c r="B1508" s="48">
        <v>1.3197000000000001</v>
      </c>
    </row>
    <row r="1509" spans="1:2" x14ac:dyDescent="0.15">
      <c r="A1509" s="47">
        <v>42989</v>
      </c>
      <c r="B1509" s="48">
        <v>1.3162</v>
      </c>
    </row>
    <row r="1510" spans="1:2" x14ac:dyDescent="0.15">
      <c r="A1510" s="47">
        <v>42990</v>
      </c>
      <c r="B1510" s="48">
        <v>1.3282</v>
      </c>
    </row>
    <row r="1511" spans="1:2" x14ac:dyDescent="0.15">
      <c r="A1511" s="47">
        <v>42991</v>
      </c>
      <c r="B1511" s="48">
        <v>1.3209</v>
      </c>
    </row>
    <row r="1512" spans="1:2" x14ac:dyDescent="0.15">
      <c r="A1512" s="47">
        <v>42992</v>
      </c>
      <c r="B1512" s="48">
        <v>1.3394999999999999</v>
      </c>
    </row>
    <row r="1513" spans="1:2" x14ac:dyDescent="0.15">
      <c r="A1513" s="47">
        <v>42993</v>
      </c>
      <c r="B1513" s="48">
        <v>1.3591</v>
      </c>
    </row>
    <row r="1514" spans="1:2" x14ac:dyDescent="0.15">
      <c r="A1514" s="47">
        <v>42996</v>
      </c>
      <c r="B1514" s="48">
        <v>1.3492</v>
      </c>
    </row>
    <row r="1515" spans="1:2" x14ac:dyDescent="0.15">
      <c r="A1515" s="47">
        <v>42997</v>
      </c>
      <c r="B1515" s="48">
        <v>1.3507</v>
      </c>
    </row>
    <row r="1516" spans="1:2" x14ac:dyDescent="0.15">
      <c r="A1516" s="47">
        <v>42998</v>
      </c>
      <c r="B1516" s="48">
        <v>1.3492</v>
      </c>
    </row>
    <row r="1517" spans="1:2" x14ac:dyDescent="0.15">
      <c r="A1517" s="47">
        <v>42999</v>
      </c>
      <c r="B1517" s="48">
        <v>1.3577999999999999</v>
      </c>
    </row>
    <row r="1518" spans="1:2" x14ac:dyDescent="0.15">
      <c r="A1518" s="47">
        <v>43000</v>
      </c>
      <c r="B1518" s="48">
        <v>1.3491</v>
      </c>
    </row>
    <row r="1519" spans="1:2" x14ac:dyDescent="0.15">
      <c r="A1519" s="47">
        <v>43003</v>
      </c>
      <c r="B1519" s="48">
        <v>1.3465</v>
      </c>
    </row>
    <row r="1520" spans="1:2" x14ac:dyDescent="0.15">
      <c r="A1520" s="47">
        <v>43004</v>
      </c>
      <c r="B1520" s="48">
        <v>1.3455999999999999</v>
      </c>
    </row>
    <row r="1521" spans="1:2" x14ac:dyDescent="0.15">
      <c r="A1521" s="47">
        <v>43005</v>
      </c>
      <c r="B1521" s="48">
        <v>1.3384</v>
      </c>
    </row>
    <row r="1522" spans="1:2" x14ac:dyDescent="0.15">
      <c r="A1522" s="47">
        <v>43006</v>
      </c>
      <c r="B1522" s="48">
        <v>1.3440000000000001</v>
      </c>
    </row>
    <row r="1523" spans="1:2" x14ac:dyDescent="0.15">
      <c r="A1523" s="47">
        <v>43007</v>
      </c>
      <c r="B1523" s="48">
        <v>1.3395999999999999</v>
      </c>
    </row>
    <row r="1524" spans="1:2" x14ac:dyDescent="0.15">
      <c r="A1524" s="47">
        <v>43010</v>
      </c>
      <c r="B1524" s="48">
        <v>1.3274999999999999</v>
      </c>
    </row>
    <row r="1525" spans="1:2" x14ac:dyDescent="0.15">
      <c r="A1525" s="47">
        <v>43011</v>
      </c>
      <c r="B1525" s="48">
        <v>1.3233999999999999</v>
      </c>
    </row>
    <row r="1526" spans="1:2" x14ac:dyDescent="0.15">
      <c r="A1526" s="47">
        <v>43012</v>
      </c>
      <c r="B1526" s="48">
        <v>1.3243</v>
      </c>
    </row>
    <row r="1527" spans="1:2" x14ac:dyDescent="0.15">
      <c r="A1527" s="47">
        <v>43013</v>
      </c>
      <c r="B1527" s="48">
        <v>1.3117000000000001</v>
      </c>
    </row>
    <row r="1528" spans="1:2" x14ac:dyDescent="0.15">
      <c r="A1528" s="47">
        <v>43014</v>
      </c>
      <c r="B1528" s="48">
        <v>1.3063</v>
      </c>
    </row>
    <row r="1529" spans="1:2" x14ac:dyDescent="0.15">
      <c r="A1529" s="47">
        <v>43017</v>
      </c>
      <c r="B1529" s="48">
        <v>1.3140000000000001</v>
      </c>
    </row>
    <row r="1530" spans="1:2" x14ac:dyDescent="0.15">
      <c r="A1530" s="47">
        <v>43018</v>
      </c>
      <c r="B1530" s="48">
        <v>1.3202</v>
      </c>
    </row>
    <row r="1531" spans="1:2" x14ac:dyDescent="0.15">
      <c r="A1531" s="47">
        <v>43019</v>
      </c>
      <c r="B1531" s="48">
        <v>1.3221000000000001</v>
      </c>
    </row>
    <row r="1532" spans="1:2" x14ac:dyDescent="0.15">
      <c r="A1532" s="47">
        <v>43020</v>
      </c>
      <c r="B1532" s="48">
        <v>1.3260000000000001</v>
      </c>
    </row>
    <row r="1533" spans="1:2" x14ac:dyDescent="0.15">
      <c r="A1533" s="47">
        <v>43021</v>
      </c>
      <c r="B1533" s="48">
        <v>1.3284</v>
      </c>
    </row>
    <row r="1534" spans="1:2" x14ac:dyDescent="0.15">
      <c r="A1534" s="47">
        <v>43024</v>
      </c>
      <c r="B1534" s="48">
        <v>1.3248</v>
      </c>
    </row>
    <row r="1535" spans="1:2" x14ac:dyDescent="0.15">
      <c r="A1535" s="47">
        <v>43025</v>
      </c>
      <c r="B1535" s="48">
        <v>1.3189</v>
      </c>
    </row>
    <row r="1536" spans="1:2" x14ac:dyDescent="0.15">
      <c r="A1536" s="47">
        <v>43026</v>
      </c>
      <c r="B1536" s="48">
        <v>1.3203</v>
      </c>
    </row>
    <row r="1537" spans="1:2" x14ac:dyDescent="0.15">
      <c r="A1537" s="47">
        <v>43027</v>
      </c>
      <c r="B1537" s="48">
        <v>1.3157000000000001</v>
      </c>
    </row>
    <row r="1538" spans="1:2" x14ac:dyDescent="0.15">
      <c r="A1538" s="47">
        <v>43028</v>
      </c>
      <c r="B1538" s="48">
        <v>1.3188</v>
      </c>
    </row>
    <row r="1539" spans="1:2" x14ac:dyDescent="0.15">
      <c r="A1539" s="47">
        <v>43031</v>
      </c>
      <c r="B1539" s="48">
        <v>1.3196000000000001</v>
      </c>
    </row>
    <row r="1540" spans="1:2" x14ac:dyDescent="0.15">
      <c r="A1540" s="47">
        <v>43032</v>
      </c>
      <c r="B1540" s="48">
        <v>1.3133999999999999</v>
      </c>
    </row>
    <row r="1541" spans="1:2" x14ac:dyDescent="0.15">
      <c r="A1541" s="47">
        <v>43033</v>
      </c>
      <c r="B1541" s="48">
        <v>1.3262</v>
      </c>
    </row>
    <row r="1542" spans="1:2" x14ac:dyDescent="0.15">
      <c r="A1542" s="47">
        <v>43034</v>
      </c>
      <c r="B1542" s="48">
        <v>1.3158000000000001</v>
      </c>
    </row>
    <row r="1543" spans="1:2" x14ac:dyDescent="0.15">
      <c r="A1543" s="47">
        <v>43035</v>
      </c>
      <c r="B1543" s="48">
        <v>1.3127</v>
      </c>
    </row>
    <row r="1544" spans="1:2" x14ac:dyDescent="0.15">
      <c r="A1544" s="47">
        <v>43038</v>
      </c>
      <c r="B1544" s="48">
        <v>1.3207</v>
      </c>
    </row>
    <row r="1545" spans="1:2" x14ac:dyDescent="0.15">
      <c r="A1545" s="47">
        <v>43039</v>
      </c>
      <c r="B1545" s="48">
        <v>1.3282</v>
      </c>
    </row>
    <row r="1546" spans="1:2" x14ac:dyDescent="0.15">
      <c r="A1546" s="47">
        <v>43040</v>
      </c>
      <c r="B1546" s="48">
        <v>1.3244</v>
      </c>
    </row>
    <row r="1547" spans="1:2" x14ac:dyDescent="0.15">
      <c r="A1547" s="47">
        <v>43041</v>
      </c>
      <c r="B1547" s="48">
        <v>1.3057000000000001</v>
      </c>
    </row>
    <row r="1548" spans="1:2" x14ac:dyDescent="0.15">
      <c r="A1548" s="47">
        <v>43042</v>
      </c>
      <c r="B1548" s="48">
        <v>1.3073999999999999</v>
      </c>
    </row>
    <row r="1549" spans="1:2" x14ac:dyDescent="0.15">
      <c r="A1549" s="47">
        <v>43045</v>
      </c>
      <c r="B1549" s="48">
        <v>1.3169999999999999</v>
      </c>
    </row>
    <row r="1550" spans="1:2" x14ac:dyDescent="0.15">
      <c r="A1550" s="47">
        <v>43046</v>
      </c>
      <c r="B1550" s="48">
        <v>1.3165</v>
      </c>
    </row>
    <row r="1551" spans="1:2" x14ac:dyDescent="0.15">
      <c r="A1551" s="47">
        <v>43047</v>
      </c>
      <c r="B1551" s="48">
        <v>1.3112999999999999</v>
      </c>
    </row>
    <row r="1552" spans="1:2" x14ac:dyDescent="0.15">
      <c r="A1552" s="47">
        <v>43048</v>
      </c>
      <c r="B1552" s="48">
        <v>1.3149</v>
      </c>
    </row>
    <row r="1553" spans="1:2" x14ac:dyDescent="0.15">
      <c r="A1553" s="47">
        <v>43049</v>
      </c>
      <c r="B1553" s="48">
        <v>1.3188</v>
      </c>
    </row>
    <row r="1554" spans="1:2" x14ac:dyDescent="0.15">
      <c r="A1554" s="47">
        <v>43052</v>
      </c>
      <c r="B1554" s="48">
        <v>1.3113999999999999</v>
      </c>
    </row>
    <row r="1555" spans="1:2" x14ac:dyDescent="0.15">
      <c r="A1555" s="47">
        <v>43053</v>
      </c>
      <c r="B1555" s="48">
        <v>1.3163</v>
      </c>
    </row>
    <row r="1556" spans="1:2" x14ac:dyDescent="0.15">
      <c r="A1556" s="47">
        <v>43054</v>
      </c>
      <c r="B1556" s="48">
        <v>1.3168</v>
      </c>
    </row>
    <row r="1557" spans="1:2" x14ac:dyDescent="0.15">
      <c r="A1557" s="47">
        <v>43055</v>
      </c>
      <c r="B1557" s="48">
        <v>1.3192999999999999</v>
      </c>
    </row>
    <row r="1558" spans="1:2" x14ac:dyDescent="0.15">
      <c r="A1558" s="47">
        <v>43056</v>
      </c>
      <c r="B1558" s="48">
        <v>1.3210999999999999</v>
      </c>
    </row>
    <row r="1559" spans="1:2" x14ac:dyDescent="0.15">
      <c r="A1559" s="47">
        <v>43059</v>
      </c>
      <c r="B1559" s="48">
        <v>1.3232999999999999</v>
      </c>
    </row>
    <row r="1560" spans="1:2" x14ac:dyDescent="0.15">
      <c r="A1560" s="47">
        <v>43060</v>
      </c>
      <c r="B1560" s="48">
        <v>1.3237000000000001</v>
      </c>
    </row>
    <row r="1561" spans="1:2" x14ac:dyDescent="0.15">
      <c r="A1561" s="47">
        <v>43061</v>
      </c>
      <c r="B1561" s="48">
        <v>1.3324</v>
      </c>
    </row>
    <row r="1562" spans="1:2" x14ac:dyDescent="0.15">
      <c r="A1562" s="47">
        <v>43062</v>
      </c>
      <c r="B1562" s="48">
        <v>1.3307</v>
      </c>
    </row>
    <row r="1563" spans="1:2" x14ac:dyDescent="0.15">
      <c r="A1563" s="47">
        <v>43063</v>
      </c>
      <c r="B1563" s="48">
        <v>1.3334999999999999</v>
      </c>
    </row>
    <row r="1564" spans="1:2" x14ac:dyDescent="0.15">
      <c r="A1564" s="47">
        <v>43066</v>
      </c>
      <c r="B1564" s="48">
        <v>1.3315999999999999</v>
      </c>
    </row>
    <row r="1565" spans="1:2" x14ac:dyDescent="0.15">
      <c r="A1565" s="47">
        <v>43067</v>
      </c>
      <c r="B1565" s="48">
        <v>1.3335999999999999</v>
      </c>
    </row>
    <row r="1566" spans="1:2" x14ac:dyDescent="0.15">
      <c r="A1566" s="47">
        <v>43068</v>
      </c>
      <c r="B1566" s="48">
        <v>1.3406</v>
      </c>
    </row>
    <row r="1567" spans="1:2" x14ac:dyDescent="0.15">
      <c r="A1567" s="47">
        <v>43069</v>
      </c>
      <c r="B1567" s="48">
        <v>1.3525</v>
      </c>
    </row>
    <row r="1568" spans="1:2" x14ac:dyDescent="0.15">
      <c r="A1568" s="47">
        <v>43070</v>
      </c>
      <c r="B1568" s="48">
        <v>1.347</v>
      </c>
    </row>
    <row r="1569" spans="1:2" x14ac:dyDescent="0.15">
      <c r="A1569" s="47">
        <v>43073</v>
      </c>
      <c r="B1569" s="48">
        <v>1.3478000000000001</v>
      </c>
    </row>
    <row r="1570" spans="1:2" x14ac:dyDescent="0.15">
      <c r="A1570" s="47">
        <v>43074</v>
      </c>
      <c r="B1570" s="48">
        <v>1.3442000000000001</v>
      </c>
    </row>
    <row r="1571" spans="1:2" x14ac:dyDescent="0.15">
      <c r="A1571" s="47">
        <v>43075</v>
      </c>
      <c r="B1571" s="48">
        <v>1.3391999999999999</v>
      </c>
    </row>
    <row r="1572" spans="1:2" x14ac:dyDescent="0.15">
      <c r="A1572" s="47">
        <v>43076</v>
      </c>
      <c r="B1572" s="48">
        <v>1.3472999999999999</v>
      </c>
    </row>
    <row r="1573" spans="1:2" x14ac:dyDescent="0.15">
      <c r="A1573" s="47">
        <v>43077</v>
      </c>
      <c r="B1573" s="48">
        <v>1.3389</v>
      </c>
    </row>
    <row r="1574" spans="1:2" x14ac:dyDescent="0.15">
      <c r="A1574" s="47">
        <v>43080</v>
      </c>
      <c r="B1574" s="48">
        <v>1.3337000000000001</v>
      </c>
    </row>
    <row r="1575" spans="1:2" x14ac:dyDescent="0.15">
      <c r="A1575" s="47">
        <v>43081</v>
      </c>
      <c r="B1575" s="48">
        <v>1.3314999999999999</v>
      </c>
    </row>
    <row r="1576" spans="1:2" x14ac:dyDescent="0.15">
      <c r="A1576" s="47">
        <v>43082</v>
      </c>
      <c r="B1576" s="48">
        <v>1.3418000000000001</v>
      </c>
    </row>
    <row r="1577" spans="1:2" x14ac:dyDescent="0.15">
      <c r="A1577" s="47">
        <v>43083</v>
      </c>
      <c r="B1577" s="48">
        <v>1.343</v>
      </c>
    </row>
    <row r="1578" spans="1:2" x14ac:dyDescent="0.15">
      <c r="A1578" s="47">
        <v>43084</v>
      </c>
      <c r="B1578" s="48">
        <v>1.3319000000000001</v>
      </c>
    </row>
    <row r="1579" spans="1:2" x14ac:dyDescent="0.15">
      <c r="A1579" s="47">
        <v>43087</v>
      </c>
      <c r="B1579" s="48">
        <v>1.3380000000000001</v>
      </c>
    </row>
    <row r="1580" spans="1:2" x14ac:dyDescent="0.15">
      <c r="A1580" s="47">
        <v>43088</v>
      </c>
      <c r="B1580" s="48">
        <v>1.3383</v>
      </c>
    </row>
    <row r="1581" spans="1:2" x14ac:dyDescent="0.15">
      <c r="A1581" s="47">
        <v>43089</v>
      </c>
      <c r="B1581" s="48">
        <v>1.3372999999999999</v>
      </c>
    </row>
    <row r="1582" spans="1:2" x14ac:dyDescent="0.15">
      <c r="A1582" s="47">
        <v>43090</v>
      </c>
      <c r="B1582" s="48">
        <v>1.3384</v>
      </c>
    </row>
    <row r="1583" spans="1:2" x14ac:dyDescent="0.15">
      <c r="A1583" s="47">
        <v>43091</v>
      </c>
      <c r="B1583" s="48">
        <v>1.3360000000000001</v>
      </c>
    </row>
    <row r="1584" spans="1:2" x14ac:dyDescent="0.15">
      <c r="A1584" s="47">
        <v>43094</v>
      </c>
      <c r="B1584" s="48">
        <v>1.3368</v>
      </c>
    </row>
    <row r="1585" spans="1:2" x14ac:dyDescent="0.15">
      <c r="A1585" s="47">
        <v>43095</v>
      </c>
      <c r="B1585" s="48">
        <v>1.3371999999999999</v>
      </c>
    </row>
    <row r="1586" spans="1:2" x14ac:dyDescent="0.15">
      <c r="A1586" s="47">
        <v>43096</v>
      </c>
      <c r="B1586" s="48">
        <v>1.3394999999999999</v>
      </c>
    </row>
    <row r="1587" spans="1:2" x14ac:dyDescent="0.15">
      <c r="A1587" s="47">
        <v>43097</v>
      </c>
      <c r="B1587" s="48">
        <v>1.3442000000000001</v>
      </c>
    </row>
    <row r="1588" spans="1:2" x14ac:dyDescent="0.15">
      <c r="A1588" s="47">
        <v>43098</v>
      </c>
      <c r="B1588" s="48">
        <v>1.3512</v>
      </c>
    </row>
    <row r="1589" spans="1:2" x14ac:dyDescent="0.15">
      <c r="A1589" s="47">
        <v>43101</v>
      </c>
      <c r="B1589" s="48">
        <v>1.3501000000000001</v>
      </c>
    </row>
    <row r="1590" spans="1:2" x14ac:dyDescent="0.15">
      <c r="A1590" s="47">
        <v>43102</v>
      </c>
      <c r="B1590" s="48">
        <v>1.3586</v>
      </c>
    </row>
    <row r="1591" spans="1:2" x14ac:dyDescent="0.15">
      <c r="A1591" s="47">
        <v>43103</v>
      </c>
      <c r="B1591" s="48">
        <v>1.3513999999999999</v>
      </c>
    </row>
    <row r="1592" spans="1:2" x14ac:dyDescent="0.15">
      <c r="A1592" s="47">
        <v>43104</v>
      </c>
      <c r="B1592" s="48">
        <v>1.3551</v>
      </c>
    </row>
    <row r="1593" spans="1:2" x14ac:dyDescent="0.15">
      <c r="A1593" s="47">
        <v>43105</v>
      </c>
      <c r="B1593" s="48">
        <v>1.3568</v>
      </c>
    </row>
    <row r="1594" spans="1:2" x14ac:dyDescent="0.15">
      <c r="A1594" s="47">
        <v>43108</v>
      </c>
      <c r="B1594" s="48">
        <v>1.3566</v>
      </c>
    </row>
    <row r="1595" spans="1:2" x14ac:dyDescent="0.15">
      <c r="A1595" s="47">
        <v>43109</v>
      </c>
      <c r="B1595" s="48">
        <v>1.3539000000000001</v>
      </c>
    </row>
    <row r="1596" spans="1:2" x14ac:dyDescent="0.15">
      <c r="A1596" s="47">
        <v>43110</v>
      </c>
      <c r="B1596" s="48">
        <v>1.3505</v>
      </c>
    </row>
    <row r="1597" spans="1:2" x14ac:dyDescent="0.15">
      <c r="A1597" s="47">
        <v>43111</v>
      </c>
      <c r="B1597" s="48">
        <v>1.3535999999999999</v>
      </c>
    </row>
    <row r="1598" spans="1:2" x14ac:dyDescent="0.15">
      <c r="A1598" s="47">
        <v>43112</v>
      </c>
      <c r="B1598" s="48">
        <v>1.3727</v>
      </c>
    </row>
    <row r="1599" spans="1:2" x14ac:dyDescent="0.15">
      <c r="A1599" s="47">
        <v>43115</v>
      </c>
      <c r="B1599" s="48">
        <v>1.3789</v>
      </c>
    </row>
    <row r="1600" spans="1:2" x14ac:dyDescent="0.15">
      <c r="A1600" s="47">
        <v>43116</v>
      </c>
      <c r="B1600" s="48">
        <v>1.3791</v>
      </c>
    </row>
    <row r="1601" spans="1:2" x14ac:dyDescent="0.15">
      <c r="A1601" s="47">
        <v>43117</v>
      </c>
      <c r="B1601" s="48">
        <v>1.3825000000000001</v>
      </c>
    </row>
    <row r="1602" spans="1:2" x14ac:dyDescent="0.15">
      <c r="A1602" s="47">
        <v>43118</v>
      </c>
      <c r="B1602" s="48">
        <v>1.3891</v>
      </c>
    </row>
    <row r="1603" spans="1:2" x14ac:dyDescent="0.15">
      <c r="A1603" s="47">
        <v>43119</v>
      </c>
      <c r="B1603" s="48">
        <v>1.3849</v>
      </c>
    </row>
    <row r="1604" spans="1:2" x14ac:dyDescent="0.15">
      <c r="A1604" s="47">
        <v>43122</v>
      </c>
      <c r="B1604" s="48">
        <v>1.3985000000000001</v>
      </c>
    </row>
    <row r="1605" spans="1:2" x14ac:dyDescent="0.15">
      <c r="A1605" s="47">
        <v>43123</v>
      </c>
      <c r="B1605" s="48">
        <v>1.3998999999999999</v>
      </c>
    </row>
    <row r="1606" spans="1:2" x14ac:dyDescent="0.15">
      <c r="A1606" s="47">
        <v>43124</v>
      </c>
      <c r="B1606" s="48">
        <v>1.4240999999999999</v>
      </c>
    </row>
    <row r="1607" spans="1:2" x14ac:dyDescent="0.15">
      <c r="A1607" s="47">
        <v>43125</v>
      </c>
      <c r="B1607" s="48">
        <v>1.4145000000000001</v>
      </c>
    </row>
    <row r="1608" spans="1:2" x14ac:dyDescent="0.15">
      <c r="A1608" s="47">
        <v>43126</v>
      </c>
      <c r="B1608" s="48">
        <v>1.4168000000000001</v>
      </c>
    </row>
    <row r="1609" spans="1:2" x14ac:dyDescent="0.15">
      <c r="A1609" s="47">
        <v>43129</v>
      </c>
      <c r="B1609" s="48">
        <v>1.4072</v>
      </c>
    </row>
    <row r="1610" spans="1:2" x14ac:dyDescent="0.15">
      <c r="A1610" s="47">
        <v>43130</v>
      </c>
      <c r="B1610" s="48">
        <v>1.4145000000000001</v>
      </c>
    </row>
    <row r="1611" spans="1:2" x14ac:dyDescent="0.15">
      <c r="A1611" s="47">
        <v>43131</v>
      </c>
      <c r="B1611" s="48">
        <v>1.419</v>
      </c>
    </row>
    <row r="1612" spans="1:2" x14ac:dyDescent="0.15">
      <c r="A1612" s="47">
        <v>43132</v>
      </c>
      <c r="B1612" s="48">
        <v>1.4263999999999999</v>
      </c>
    </row>
    <row r="1613" spans="1:2" x14ac:dyDescent="0.15">
      <c r="A1613" s="47">
        <v>43133</v>
      </c>
      <c r="B1613" s="48">
        <v>1.4119999999999999</v>
      </c>
    </row>
    <row r="1614" spans="1:2" x14ac:dyDescent="0.15">
      <c r="A1614" s="47">
        <v>43136</v>
      </c>
      <c r="B1614" s="48">
        <v>1.3956999999999999</v>
      </c>
    </row>
    <row r="1615" spans="1:2" x14ac:dyDescent="0.15">
      <c r="A1615" s="47">
        <v>43137</v>
      </c>
      <c r="B1615" s="48">
        <v>1.3947000000000001</v>
      </c>
    </row>
    <row r="1616" spans="1:2" x14ac:dyDescent="0.15">
      <c r="A1616" s="47">
        <v>43138</v>
      </c>
      <c r="B1616" s="48">
        <v>1.3879999999999999</v>
      </c>
    </row>
    <row r="1617" spans="1:2" x14ac:dyDescent="0.15">
      <c r="A1617" s="47">
        <v>43139</v>
      </c>
      <c r="B1617" s="48">
        <v>1.3911</v>
      </c>
    </row>
    <row r="1618" spans="1:2" x14ac:dyDescent="0.15">
      <c r="A1618" s="47">
        <v>43140</v>
      </c>
      <c r="B1618" s="48">
        <v>1.3835</v>
      </c>
    </row>
    <row r="1619" spans="1:2" x14ac:dyDescent="0.15">
      <c r="A1619" s="47">
        <v>43143</v>
      </c>
      <c r="B1619" s="48">
        <v>1.3835</v>
      </c>
    </row>
    <row r="1620" spans="1:2" x14ac:dyDescent="0.15">
      <c r="A1620" s="47">
        <v>43144</v>
      </c>
      <c r="B1620" s="48">
        <v>1.389</v>
      </c>
    </row>
    <row r="1621" spans="1:2" x14ac:dyDescent="0.15">
      <c r="A1621" s="47">
        <v>43145</v>
      </c>
      <c r="B1621" s="48">
        <v>1.3996</v>
      </c>
    </row>
    <row r="1622" spans="1:2" x14ac:dyDescent="0.15">
      <c r="A1622" s="47">
        <v>43146</v>
      </c>
      <c r="B1622" s="48">
        <v>1.4096</v>
      </c>
    </row>
    <row r="1623" spans="1:2" x14ac:dyDescent="0.15">
      <c r="A1623" s="47">
        <v>43147</v>
      </c>
      <c r="B1623" s="48">
        <v>1.4039999999999999</v>
      </c>
    </row>
    <row r="1624" spans="1:2" x14ac:dyDescent="0.15">
      <c r="A1624" s="47">
        <v>43150</v>
      </c>
      <c r="B1624" s="48">
        <v>1.4003000000000001</v>
      </c>
    </row>
    <row r="1625" spans="1:2" x14ac:dyDescent="0.15">
      <c r="A1625" s="47">
        <v>43151</v>
      </c>
      <c r="B1625" s="48">
        <v>1.3994</v>
      </c>
    </row>
    <row r="1626" spans="1:2" x14ac:dyDescent="0.15">
      <c r="A1626" s="47">
        <v>43152</v>
      </c>
      <c r="B1626" s="48">
        <v>1.3916999999999999</v>
      </c>
    </row>
    <row r="1627" spans="1:2" x14ac:dyDescent="0.15">
      <c r="A1627" s="47">
        <v>43153</v>
      </c>
      <c r="B1627" s="48">
        <v>1.3954</v>
      </c>
    </row>
    <row r="1628" spans="1:2" x14ac:dyDescent="0.15">
      <c r="A1628" s="47">
        <v>43154</v>
      </c>
      <c r="B1628" s="48">
        <v>1.3965000000000001</v>
      </c>
    </row>
    <row r="1629" spans="1:2" x14ac:dyDescent="0.15">
      <c r="A1629" s="47">
        <v>43157</v>
      </c>
      <c r="B1629" s="48">
        <v>1.3965000000000001</v>
      </c>
    </row>
    <row r="1630" spans="1:2" x14ac:dyDescent="0.15">
      <c r="A1630" s="47">
        <v>43158</v>
      </c>
      <c r="B1630" s="48">
        <v>1.3907</v>
      </c>
    </row>
    <row r="1631" spans="1:2" x14ac:dyDescent="0.15">
      <c r="A1631" s="47">
        <v>43159</v>
      </c>
      <c r="B1631" s="48">
        <v>1.3759999999999999</v>
      </c>
    </row>
    <row r="1632" spans="1:2" x14ac:dyDescent="0.15">
      <c r="A1632" s="47">
        <v>43160</v>
      </c>
      <c r="B1632" s="48">
        <v>1.3774</v>
      </c>
    </row>
    <row r="1633" spans="1:2" x14ac:dyDescent="0.15">
      <c r="A1633" s="47">
        <v>43161</v>
      </c>
      <c r="B1633" s="48">
        <v>1.3802000000000001</v>
      </c>
    </row>
    <row r="1634" spans="1:2" x14ac:dyDescent="0.15">
      <c r="A1634" s="47">
        <v>43164</v>
      </c>
      <c r="B1634" s="48">
        <v>1.3848</v>
      </c>
    </row>
    <row r="1635" spans="1:2" x14ac:dyDescent="0.15">
      <c r="A1635" s="47">
        <v>43165</v>
      </c>
      <c r="B1635" s="48">
        <v>1.3885000000000001</v>
      </c>
    </row>
    <row r="1636" spans="1:2" x14ac:dyDescent="0.15">
      <c r="A1636" s="47">
        <v>43166</v>
      </c>
      <c r="B1636" s="48">
        <v>1.3898999999999999</v>
      </c>
    </row>
    <row r="1637" spans="1:2" x14ac:dyDescent="0.15">
      <c r="A1637" s="47">
        <v>43167</v>
      </c>
      <c r="B1637" s="48">
        <v>1.381</v>
      </c>
    </row>
    <row r="1638" spans="1:2" x14ac:dyDescent="0.15">
      <c r="A1638" s="47">
        <v>43168</v>
      </c>
      <c r="B1638" s="48">
        <v>1.3847</v>
      </c>
    </row>
    <row r="1639" spans="1:2" x14ac:dyDescent="0.15">
      <c r="A1639" s="47">
        <v>43171</v>
      </c>
      <c r="B1639" s="48">
        <v>1.3905000000000001</v>
      </c>
    </row>
    <row r="1640" spans="1:2" x14ac:dyDescent="0.15">
      <c r="A1640" s="47">
        <v>43172</v>
      </c>
      <c r="B1640" s="48">
        <v>1.3958999999999999</v>
      </c>
    </row>
    <row r="1641" spans="1:2" x14ac:dyDescent="0.15">
      <c r="A1641" s="47">
        <v>43173</v>
      </c>
      <c r="B1641" s="48">
        <v>1.3958999999999999</v>
      </c>
    </row>
    <row r="1642" spans="1:2" x14ac:dyDescent="0.15">
      <c r="A1642" s="47">
        <v>43174</v>
      </c>
      <c r="B1642" s="48">
        <v>1.3935999999999999</v>
      </c>
    </row>
    <row r="1643" spans="1:2" x14ac:dyDescent="0.15">
      <c r="A1643" s="47">
        <v>43175</v>
      </c>
      <c r="B1643" s="48">
        <v>1.3938999999999999</v>
      </c>
    </row>
    <row r="1644" spans="1:2" x14ac:dyDescent="0.15">
      <c r="A1644" s="47">
        <v>43178</v>
      </c>
      <c r="B1644" s="48">
        <v>1.4023000000000001</v>
      </c>
    </row>
    <row r="1645" spans="1:2" x14ac:dyDescent="0.15">
      <c r="A1645" s="47">
        <v>43179</v>
      </c>
      <c r="B1645" s="48">
        <v>1.3996999999999999</v>
      </c>
    </row>
    <row r="1646" spans="1:2" x14ac:dyDescent="0.15">
      <c r="A1646" s="47">
        <v>43180</v>
      </c>
      <c r="B1646" s="48">
        <v>1.4138999999999999</v>
      </c>
    </row>
    <row r="1647" spans="1:2" x14ac:dyDescent="0.15">
      <c r="A1647" s="47">
        <v>43181</v>
      </c>
      <c r="B1647" s="48">
        <v>1.4094</v>
      </c>
    </row>
    <row r="1648" spans="1:2" x14ac:dyDescent="0.15">
      <c r="A1648" s="47">
        <v>43182</v>
      </c>
      <c r="B1648" s="48">
        <v>1.4132</v>
      </c>
    </row>
    <row r="1649" spans="1:2" x14ac:dyDescent="0.15">
      <c r="A1649" s="47">
        <v>43185</v>
      </c>
      <c r="B1649" s="48">
        <v>1.4226000000000001</v>
      </c>
    </row>
    <row r="1650" spans="1:2" x14ac:dyDescent="0.15">
      <c r="A1650" s="47">
        <v>43186</v>
      </c>
      <c r="B1650" s="48">
        <v>1.4154</v>
      </c>
    </row>
    <row r="1651" spans="1:2" x14ac:dyDescent="0.15">
      <c r="A1651" s="47">
        <v>43187</v>
      </c>
      <c r="B1651" s="48">
        <v>1.4076</v>
      </c>
    </row>
    <row r="1652" spans="1:2" x14ac:dyDescent="0.15">
      <c r="A1652" s="47">
        <v>43188</v>
      </c>
      <c r="B1652" s="48">
        <v>1.4015</v>
      </c>
    </row>
    <row r="1653" spans="1:2" x14ac:dyDescent="0.15">
      <c r="A1653" s="47">
        <v>43189</v>
      </c>
      <c r="B1653" s="48">
        <v>1.4015</v>
      </c>
    </row>
    <row r="1654" spans="1:2" x14ac:dyDescent="0.15">
      <c r="A1654" s="47">
        <v>43192</v>
      </c>
      <c r="B1654" s="48">
        <v>1.4043000000000001</v>
      </c>
    </row>
    <row r="1655" spans="1:2" x14ac:dyDescent="0.15">
      <c r="A1655" s="47">
        <v>43193</v>
      </c>
      <c r="B1655" s="48">
        <v>1.4056</v>
      </c>
    </row>
    <row r="1656" spans="1:2" x14ac:dyDescent="0.15">
      <c r="A1656" s="47">
        <v>43194</v>
      </c>
      <c r="B1656" s="48">
        <v>1.4079999999999999</v>
      </c>
    </row>
    <row r="1657" spans="1:2" x14ac:dyDescent="0.15">
      <c r="A1657" s="47">
        <v>43195</v>
      </c>
      <c r="B1657" s="48">
        <v>1.4000999999999999</v>
      </c>
    </row>
    <row r="1658" spans="1:2" x14ac:dyDescent="0.15">
      <c r="A1658" s="47">
        <v>43196</v>
      </c>
      <c r="B1658" s="48">
        <v>1.409</v>
      </c>
    </row>
    <row r="1659" spans="1:2" x14ac:dyDescent="0.15">
      <c r="A1659" s="47">
        <v>43199</v>
      </c>
      <c r="B1659" s="48">
        <v>1.4129</v>
      </c>
    </row>
    <row r="1660" spans="1:2" x14ac:dyDescent="0.15">
      <c r="A1660" s="47">
        <v>43200</v>
      </c>
      <c r="B1660" s="48">
        <v>1.4172</v>
      </c>
    </row>
    <row r="1661" spans="1:2" x14ac:dyDescent="0.15">
      <c r="A1661" s="47">
        <v>43201</v>
      </c>
      <c r="B1661" s="48">
        <v>1.4176</v>
      </c>
    </row>
    <row r="1662" spans="1:2" x14ac:dyDescent="0.15">
      <c r="A1662" s="47">
        <v>43202</v>
      </c>
      <c r="B1662" s="48">
        <v>1.4225000000000001</v>
      </c>
    </row>
    <row r="1663" spans="1:2" x14ac:dyDescent="0.15">
      <c r="A1663" s="47">
        <v>43203</v>
      </c>
      <c r="B1663" s="48">
        <v>1.4238999999999999</v>
      </c>
    </row>
    <row r="1664" spans="1:2" x14ac:dyDescent="0.15">
      <c r="A1664" s="47">
        <v>43206</v>
      </c>
      <c r="B1664" s="48">
        <v>1.4335</v>
      </c>
    </row>
    <row r="1665" spans="1:2" x14ac:dyDescent="0.15">
      <c r="A1665" s="47">
        <v>43207</v>
      </c>
      <c r="B1665" s="48">
        <v>1.4286000000000001</v>
      </c>
    </row>
    <row r="1666" spans="1:2" x14ac:dyDescent="0.15">
      <c r="A1666" s="47">
        <v>43208</v>
      </c>
      <c r="B1666" s="48">
        <v>1.4200999999999999</v>
      </c>
    </row>
    <row r="1667" spans="1:2" x14ac:dyDescent="0.15">
      <c r="A1667" s="47">
        <v>43209</v>
      </c>
      <c r="B1667" s="48">
        <v>1.409</v>
      </c>
    </row>
    <row r="1668" spans="1:2" x14ac:dyDescent="0.15">
      <c r="A1668" s="47">
        <v>43210</v>
      </c>
      <c r="B1668" s="48">
        <v>1.4003000000000001</v>
      </c>
    </row>
    <row r="1669" spans="1:2" x14ac:dyDescent="0.15">
      <c r="A1669" s="47">
        <v>43213</v>
      </c>
      <c r="B1669" s="48">
        <v>1.3938999999999999</v>
      </c>
    </row>
    <row r="1670" spans="1:2" x14ac:dyDescent="0.15">
      <c r="A1670" s="47">
        <v>43214</v>
      </c>
      <c r="B1670" s="48">
        <v>1.3975</v>
      </c>
    </row>
    <row r="1671" spans="1:2" x14ac:dyDescent="0.15">
      <c r="A1671" s="47">
        <v>43215</v>
      </c>
      <c r="B1671" s="48">
        <v>1.3929</v>
      </c>
    </row>
    <row r="1672" spans="1:2" x14ac:dyDescent="0.15">
      <c r="A1672" s="47">
        <v>43216</v>
      </c>
      <c r="B1672" s="48">
        <v>1.3914</v>
      </c>
    </row>
    <row r="1673" spans="1:2" x14ac:dyDescent="0.15">
      <c r="A1673" s="47">
        <v>43217</v>
      </c>
      <c r="B1673" s="48">
        <v>1.3777999999999999</v>
      </c>
    </row>
    <row r="1674" spans="1:2" x14ac:dyDescent="0.15">
      <c r="A1674" s="47">
        <v>43220</v>
      </c>
      <c r="B1674" s="48">
        <v>1.3769</v>
      </c>
    </row>
    <row r="1675" spans="1:2" x14ac:dyDescent="0.15">
      <c r="A1675" s="47">
        <v>43221</v>
      </c>
      <c r="B1675" s="48">
        <v>1.3611</v>
      </c>
    </row>
    <row r="1676" spans="1:2" x14ac:dyDescent="0.15">
      <c r="A1676" s="47">
        <v>43222</v>
      </c>
      <c r="B1676" s="48">
        <v>1.3575999999999999</v>
      </c>
    </row>
    <row r="1677" spans="1:2" x14ac:dyDescent="0.15">
      <c r="A1677" s="47">
        <v>43223</v>
      </c>
      <c r="B1677" s="48">
        <v>1.3573999999999999</v>
      </c>
    </row>
    <row r="1678" spans="1:2" x14ac:dyDescent="0.15">
      <c r="A1678" s="47">
        <v>43224</v>
      </c>
      <c r="B1678" s="48">
        <v>1.353</v>
      </c>
    </row>
    <row r="1679" spans="1:2" x14ac:dyDescent="0.15">
      <c r="A1679" s="47">
        <v>43227</v>
      </c>
      <c r="B1679" s="48">
        <v>1.3554999999999999</v>
      </c>
    </row>
    <row r="1680" spans="1:2" x14ac:dyDescent="0.15">
      <c r="A1680" s="47">
        <v>43228</v>
      </c>
      <c r="B1680" s="48">
        <v>1.3544</v>
      </c>
    </row>
    <row r="1681" spans="1:2" x14ac:dyDescent="0.15">
      <c r="A1681" s="47">
        <v>43229</v>
      </c>
      <c r="B1681" s="48">
        <v>1.3544</v>
      </c>
    </row>
    <row r="1682" spans="1:2" x14ac:dyDescent="0.15">
      <c r="A1682" s="47">
        <v>43230</v>
      </c>
      <c r="B1682" s="48">
        <v>1.3515999999999999</v>
      </c>
    </row>
    <row r="1683" spans="1:2" x14ac:dyDescent="0.15">
      <c r="A1683" s="47">
        <v>43231</v>
      </c>
      <c r="B1683" s="48">
        <v>1.3541000000000001</v>
      </c>
    </row>
    <row r="1684" spans="1:2" x14ac:dyDescent="0.15">
      <c r="A1684" s="47">
        <v>43234</v>
      </c>
      <c r="B1684" s="48">
        <v>1.3553999999999999</v>
      </c>
    </row>
    <row r="1685" spans="1:2" x14ac:dyDescent="0.15">
      <c r="A1685" s="47">
        <v>43235</v>
      </c>
      <c r="B1685" s="48">
        <v>1.3504</v>
      </c>
    </row>
    <row r="1686" spans="1:2" x14ac:dyDescent="0.15">
      <c r="A1686" s="47">
        <v>43236</v>
      </c>
      <c r="B1686" s="48">
        <v>1.3485</v>
      </c>
    </row>
    <row r="1687" spans="1:2" x14ac:dyDescent="0.15">
      <c r="A1687" s="47">
        <v>43237</v>
      </c>
      <c r="B1687" s="48">
        <v>1.3514999999999999</v>
      </c>
    </row>
    <row r="1688" spans="1:2" x14ac:dyDescent="0.15">
      <c r="A1688" s="47">
        <v>43238</v>
      </c>
      <c r="B1688" s="48">
        <v>1.3471</v>
      </c>
    </row>
    <row r="1689" spans="1:2" x14ac:dyDescent="0.15">
      <c r="A1689" s="47">
        <v>43241</v>
      </c>
      <c r="B1689" s="48">
        <v>1.3428</v>
      </c>
    </row>
    <row r="1690" spans="1:2" x14ac:dyDescent="0.15">
      <c r="A1690" s="47">
        <v>43242</v>
      </c>
      <c r="B1690" s="48">
        <v>1.3433999999999999</v>
      </c>
    </row>
    <row r="1691" spans="1:2" x14ac:dyDescent="0.15">
      <c r="A1691" s="47">
        <v>43243</v>
      </c>
      <c r="B1691" s="48">
        <v>1.3346</v>
      </c>
    </row>
    <row r="1692" spans="1:2" x14ac:dyDescent="0.15">
      <c r="A1692" s="47">
        <v>43244</v>
      </c>
      <c r="B1692" s="48">
        <v>1.3379000000000001</v>
      </c>
    </row>
    <row r="1693" spans="1:2" x14ac:dyDescent="0.15">
      <c r="A1693" s="47">
        <v>43245</v>
      </c>
      <c r="B1693" s="48">
        <v>1.3307</v>
      </c>
    </row>
    <row r="1694" spans="1:2" x14ac:dyDescent="0.15">
      <c r="A1694" s="47">
        <v>43248</v>
      </c>
      <c r="B1694" s="48">
        <v>1.3310999999999999</v>
      </c>
    </row>
    <row r="1695" spans="1:2" x14ac:dyDescent="0.15">
      <c r="A1695" s="47">
        <v>43249</v>
      </c>
      <c r="B1695" s="48">
        <v>1.3250999999999999</v>
      </c>
    </row>
    <row r="1696" spans="1:2" x14ac:dyDescent="0.15">
      <c r="A1696" s="47">
        <v>43250</v>
      </c>
      <c r="B1696" s="48">
        <v>1.3289</v>
      </c>
    </row>
    <row r="1697" spans="1:2" x14ac:dyDescent="0.15">
      <c r="A1697" s="47">
        <v>43251</v>
      </c>
      <c r="B1697" s="48">
        <v>1.3298000000000001</v>
      </c>
    </row>
    <row r="1698" spans="1:2" x14ac:dyDescent="0.15">
      <c r="A1698" s="47">
        <v>43252</v>
      </c>
      <c r="B1698" s="48">
        <v>1.3347</v>
      </c>
    </row>
    <row r="1699" spans="1:2" x14ac:dyDescent="0.15">
      <c r="A1699" s="47">
        <v>43255</v>
      </c>
      <c r="B1699" s="48">
        <v>1.3310999999999999</v>
      </c>
    </row>
    <row r="1700" spans="1:2" x14ac:dyDescent="0.15">
      <c r="A1700" s="47">
        <v>43256</v>
      </c>
      <c r="B1700" s="48">
        <v>1.3393999999999999</v>
      </c>
    </row>
    <row r="1701" spans="1:2" x14ac:dyDescent="0.15">
      <c r="A1701" s="47">
        <v>43257</v>
      </c>
      <c r="B1701" s="48">
        <v>1.3411</v>
      </c>
    </row>
    <row r="1702" spans="1:2" x14ac:dyDescent="0.15">
      <c r="A1702" s="47">
        <v>43258</v>
      </c>
      <c r="B1702" s="48">
        <v>1.3420000000000001</v>
      </c>
    </row>
    <row r="1703" spans="1:2" x14ac:dyDescent="0.15">
      <c r="A1703" s="47">
        <v>43259</v>
      </c>
      <c r="B1703" s="48">
        <v>1.341</v>
      </c>
    </row>
    <row r="1704" spans="1:2" x14ac:dyDescent="0.15">
      <c r="A1704" s="47">
        <v>43262</v>
      </c>
      <c r="B1704" s="48">
        <v>1.3372999999999999</v>
      </c>
    </row>
    <row r="1705" spans="1:2" x14ac:dyDescent="0.15">
      <c r="A1705" s="47">
        <v>43263</v>
      </c>
      <c r="B1705" s="48">
        <v>1.337</v>
      </c>
    </row>
    <row r="1706" spans="1:2" x14ac:dyDescent="0.15">
      <c r="A1706" s="47">
        <v>43264</v>
      </c>
      <c r="B1706" s="48">
        <v>1.3373999999999999</v>
      </c>
    </row>
    <row r="1707" spans="1:2" x14ac:dyDescent="0.15">
      <c r="A1707" s="47">
        <v>43265</v>
      </c>
      <c r="B1707" s="48">
        <v>1.3261000000000001</v>
      </c>
    </row>
    <row r="1708" spans="1:2" x14ac:dyDescent="0.15">
      <c r="A1708" s="47">
        <v>43266</v>
      </c>
      <c r="B1708" s="48">
        <v>1.3283</v>
      </c>
    </row>
    <row r="1709" spans="1:2" x14ac:dyDescent="0.15">
      <c r="A1709" s="47">
        <v>43269</v>
      </c>
      <c r="B1709" s="48">
        <v>1.3242</v>
      </c>
    </row>
    <row r="1710" spans="1:2" x14ac:dyDescent="0.15">
      <c r="A1710" s="47">
        <v>43270</v>
      </c>
      <c r="B1710" s="48">
        <v>1.3178000000000001</v>
      </c>
    </row>
    <row r="1711" spans="1:2" x14ac:dyDescent="0.15">
      <c r="A1711" s="47">
        <v>43271</v>
      </c>
      <c r="B1711" s="48">
        <v>1.3170999999999999</v>
      </c>
    </row>
    <row r="1712" spans="1:2" x14ac:dyDescent="0.15">
      <c r="A1712" s="47">
        <v>43272</v>
      </c>
      <c r="B1712" s="48">
        <v>1.325</v>
      </c>
    </row>
    <row r="1713" spans="1:2" x14ac:dyDescent="0.15">
      <c r="A1713" s="47">
        <v>43273</v>
      </c>
      <c r="B1713" s="48">
        <v>1.3268</v>
      </c>
    </row>
    <row r="1714" spans="1:2" x14ac:dyDescent="0.15">
      <c r="A1714" s="47">
        <v>43276</v>
      </c>
      <c r="B1714" s="48">
        <v>1.3273999999999999</v>
      </c>
    </row>
    <row r="1715" spans="1:2" x14ac:dyDescent="0.15">
      <c r="A1715" s="47">
        <v>43277</v>
      </c>
      <c r="B1715" s="48">
        <v>1.3226</v>
      </c>
    </row>
    <row r="1716" spans="1:2" x14ac:dyDescent="0.15">
      <c r="A1716" s="47">
        <v>43278</v>
      </c>
      <c r="B1716" s="48">
        <v>1.3109999999999999</v>
      </c>
    </row>
    <row r="1717" spans="1:2" x14ac:dyDescent="0.15">
      <c r="A1717" s="47">
        <v>43279</v>
      </c>
      <c r="B1717" s="48">
        <v>1.3076000000000001</v>
      </c>
    </row>
    <row r="1718" spans="1:2" x14ac:dyDescent="0.15">
      <c r="A1718" s="47">
        <v>43280</v>
      </c>
      <c r="B1718" s="48">
        <v>1.3207</v>
      </c>
    </row>
    <row r="1719" spans="1:2" x14ac:dyDescent="0.15">
      <c r="A1719" s="47">
        <v>43283</v>
      </c>
      <c r="B1719" s="48">
        <v>1.3141</v>
      </c>
    </row>
    <row r="1720" spans="1:2" x14ac:dyDescent="0.15">
      <c r="A1720" s="47">
        <v>43284</v>
      </c>
      <c r="B1720" s="48">
        <v>1.3190999999999999</v>
      </c>
    </row>
    <row r="1721" spans="1:2" x14ac:dyDescent="0.15">
      <c r="A1721" s="47">
        <v>43285</v>
      </c>
      <c r="B1721" s="48">
        <v>1.323</v>
      </c>
    </row>
    <row r="1722" spans="1:2" x14ac:dyDescent="0.15">
      <c r="A1722" s="47">
        <v>43286</v>
      </c>
      <c r="B1722" s="48">
        <v>1.3225</v>
      </c>
    </row>
    <row r="1723" spans="1:2" x14ac:dyDescent="0.15">
      <c r="A1723" s="47">
        <v>43287</v>
      </c>
      <c r="B1723" s="48">
        <v>1.3283</v>
      </c>
    </row>
    <row r="1724" spans="1:2" x14ac:dyDescent="0.15">
      <c r="A1724" s="47">
        <v>43290</v>
      </c>
      <c r="B1724" s="48">
        <v>1.3257000000000001</v>
      </c>
    </row>
    <row r="1725" spans="1:2" x14ac:dyDescent="0.15">
      <c r="A1725" s="47">
        <v>43291</v>
      </c>
      <c r="B1725" s="48">
        <v>1.3273999999999999</v>
      </c>
    </row>
    <row r="1726" spans="1:2" x14ac:dyDescent="0.15">
      <c r="A1726" s="47">
        <v>43292</v>
      </c>
      <c r="B1726" s="48">
        <v>1.3203</v>
      </c>
    </row>
    <row r="1727" spans="1:2" x14ac:dyDescent="0.15">
      <c r="A1727" s="47">
        <v>43293</v>
      </c>
      <c r="B1727" s="48">
        <v>1.3204</v>
      </c>
    </row>
    <row r="1728" spans="1:2" x14ac:dyDescent="0.15">
      <c r="A1728" s="47">
        <v>43294</v>
      </c>
      <c r="B1728" s="48">
        <v>1.3231999999999999</v>
      </c>
    </row>
    <row r="1729" spans="1:2" x14ac:dyDescent="0.15">
      <c r="A1729" s="47">
        <v>43297</v>
      </c>
      <c r="B1729" s="48">
        <v>1.3232999999999999</v>
      </c>
    </row>
    <row r="1730" spans="1:2" x14ac:dyDescent="0.15">
      <c r="A1730" s="47">
        <v>43298</v>
      </c>
      <c r="B1730" s="48">
        <v>1.3111999999999999</v>
      </c>
    </row>
    <row r="1731" spans="1:2" x14ac:dyDescent="0.15">
      <c r="A1731" s="47">
        <v>43299</v>
      </c>
      <c r="B1731" s="48">
        <v>1.3068</v>
      </c>
    </row>
    <row r="1732" spans="1:2" x14ac:dyDescent="0.15">
      <c r="A1732" s="47">
        <v>43300</v>
      </c>
      <c r="B1732" s="48">
        <v>1.3011999999999999</v>
      </c>
    </row>
    <row r="1733" spans="1:2" x14ac:dyDescent="0.15">
      <c r="A1733" s="47">
        <v>43301</v>
      </c>
      <c r="B1733" s="48">
        <v>1.3131999999999999</v>
      </c>
    </row>
    <row r="1734" spans="1:2" x14ac:dyDescent="0.15">
      <c r="A1734" s="47">
        <v>43304</v>
      </c>
      <c r="B1734" s="48">
        <v>1.3101</v>
      </c>
    </row>
    <row r="1735" spans="1:2" x14ac:dyDescent="0.15">
      <c r="A1735" s="47">
        <v>43305</v>
      </c>
      <c r="B1735" s="48">
        <v>1.3143</v>
      </c>
    </row>
    <row r="1736" spans="1:2" x14ac:dyDescent="0.15">
      <c r="A1736" s="47">
        <v>43306</v>
      </c>
      <c r="B1736" s="48">
        <v>1.3187</v>
      </c>
    </row>
    <row r="1737" spans="1:2" x14ac:dyDescent="0.15">
      <c r="A1737" s="47">
        <v>43307</v>
      </c>
      <c r="B1737" s="48">
        <v>1.3107</v>
      </c>
    </row>
    <row r="1738" spans="1:2" x14ac:dyDescent="0.15">
      <c r="A1738" s="47">
        <v>43308</v>
      </c>
      <c r="B1738" s="48">
        <v>1.3103</v>
      </c>
    </row>
    <row r="1739" spans="1:2" x14ac:dyDescent="0.15">
      <c r="A1739" s="47">
        <v>43311</v>
      </c>
      <c r="B1739" s="48">
        <v>1.3130999999999999</v>
      </c>
    </row>
    <row r="1740" spans="1:2" x14ac:dyDescent="0.15">
      <c r="A1740" s="47">
        <v>43312</v>
      </c>
      <c r="B1740" s="48">
        <v>1.3124</v>
      </c>
    </row>
    <row r="1741" spans="1:2" x14ac:dyDescent="0.15">
      <c r="A1741" s="47">
        <v>43313</v>
      </c>
      <c r="B1741" s="48">
        <v>1.3124</v>
      </c>
    </row>
    <row r="1742" spans="1:2" x14ac:dyDescent="0.15">
      <c r="A1742" s="47">
        <v>43314</v>
      </c>
      <c r="B1742" s="48">
        <v>1.3017000000000001</v>
      </c>
    </row>
    <row r="1743" spans="1:2" x14ac:dyDescent="0.15">
      <c r="A1743" s="47">
        <v>43315</v>
      </c>
      <c r="B1743" s="48">
        <v>1.3005</v>
      </c>
    </row>
    <row r="1744" spans="1:2" x14ac:dyDescent="0.15">
      <c r="A1744" s="47">
        <v>43318</v>
      </c>
      <c r="B1744" s="48">
        <v>1.2941</v>
      </c>
    </row>
    <row r="1745" spans="1:2" x14ac:dyDescent="0.15">
      <c r="A1745" s="47">
        <v>43319</v>
      </c>
      <c r="B1745" s="48">
        <v>1.2937000000000001</v>
      </c>
    </row>
    <row r="1746" spans="1:2" x14ac:dyDescent="0.15">
      <c r="A1746" s="47">
        <v>43320</v>
      </c>
      <c r="B1746" s="48">
        <v>1.2879</v>
      </c>
    </row>
    <row r="1747" spans="1:2" x14ac:dyDescent="0.15">
      <c r="A1747" s="47">
        <v>43321</v>
      </c>
      <c r="B1747" s="48">
        <v>1.2822</v>
      </c>
    </row>
    <row r="1748" spans="1:2" x14ac:dyDescent="0.15">
      <c r="A1748" s="47">
        <v>43322</v>
      </c>
      <c r="B1748" s="48">
        <v>1.2766999999999999</v>
      </c>
    </row>
    <row r="1749" spans="1:2" x14ac:dyDescent="0.15">
      <c r="A1749" s="47">
        <v>43325</v>
      </c>
      <c r="B1749" s="48">
        <v>1.2766</v>
      </c>
    </row>
    <row r="1750" spans="1:2" x14ac:dyDescent="0.15">
      <c r="A1750" s="47">
        <v>43326</v>
      </c>
      <c r="B1750" s="48">
        <v>1.2723</v>
      </c>
    </row>
    <row r="1751" spans="1:2" x14ac:dyDescent="0.15">
      <c r="A1751" s="47">
        <v>43327</v>
      </c>
      <c r="B1751" s="48">
        <v>1.2696000000000001</v>
      </c>
    </row>
    <row r="1752" spans="1:2" x14ac:dyDescent="0.15">
      <c r="A1752" s="47">
        <v>43328</v>
      </c>
      <c r="B1752" s="48">
        <v>1.2717000000000001</v>
      </c>
    </row>
    <row r="1753" spans="1:2" x14ac:dyDescent="0.15">
      <c r="A1753" s="47">
        <v>43329</v>
      </c>
      <c r="B1753" s="48">
        <v>1.2749999999999999</v>
      </c>
    </row>
    <row r="1754" spans="1:2" x14ac:dyDescent="0.15">
      <c r="A1754" s="47">
        <v>43332</v>
      </c>
      <c r="B1754" s="48">
        <v>1.2796000000000001</v>
      </c>
    </row>
    <row r="1755" spans="1:2" x14ac:dyDescent="0.15">
      <c r="A1755" s="47">
        <v>43333</v>
      </c>
      <c r="B1755" s="48">
        <v>1.2899</v>
      </c>
    </row>
    <row r="1756" spans="1:2" x14ac:dyDescent="0.15">
      <c r="A1756" s="47">
        <v>43334</v>
      </c>
      <c r="B1756" s="48">
        <v>1.2908999999999999</v>
      </c>
    </row>
    <row r="1757" spans="1:2" x14ac:dyDescent="0.15">
      <c r="A1757" s="47">
        <v>43335</v>
      </c>
      <c r="B1757" s="48">
        <v>1.2809999999999999</v>
      </c>
    </row>
    <row r="1758" spans="1:2" x14ac:dyDescent="0.15">
      <c r="A1758" s="47">
        <v>43336</v>
      </c>
      <c r="B1758" s="48">
        <v>1.2843</v>
      </c>
    </row>
    <row r="1759" spans="1:2" x14ac:dyDescent="0.15">
      <c r="A1759" s="47">
        <v>43339</v>
      </c>
      <c r="B1759" s="48">
        <v>1.2890999999999999</v>
      </c>
    </row>
    <row r="1760" spans="1:2" x14ac:dyDescent="0.15">
      <c r="A1760" s="47">
        <v>43340</v>
      </c>
      <c r="B1760" s="48">
        <v>1.2875000000000001</v>
      </c>
    </row>
    <row r="1761" spans="1:2" x14ac:dyDescent="0.15">
      <c r="A1761" s="47">
        <v>43341</v>
      </c>
      <c r="B1761" s="48">
        <v>1.3024</v>
      </c>
    </row>
    <row r="1762" spans="1:2" x14ac:dyDescent="0.15">
      <c r="A1762" s="47">
        <v>43342</v>
      </c>
      <c r="B1762" s="48">
        <v>1.3008</v>
      </c>
    </row>
    <row r="1763" spans="1:2" x14ac:dyDescent="0.15">
      <c r="A1763" s="47">
        <v>43343</v>
      </c>
      <c r="B1763" s="48">
        <v>1.2961</v>
      </c>
    </row>
    <row r="1764" spans="1:2" x14ac:dyDescent="0.15">
      <c r="A1764" s="47">
        <v>43346</v>
      </c>
      <c r="B1764" s="48">
        <v>1.2869999999999999</v>
      </c>
    </row>
    <row r="1765" spans="1:2" x14ac:dyDescent="0.15">
      <c r="A1765" s="47">
        <v>43347</v>
      </c>
      <c r="B1765" s="48">
        <v>1.2854000000000001</v>
      </c>
    </row>
    <row r="1766" spans="1:2" x14ac:dyDescent="0.15">
      <c r="A1766" s="47">
        <v>43348</v>
      </c>
      <c r="B1766" s="48">
        <v>1.2902</v>
      </c>
    </row>
    <row r="1767" spans="1:2" x14ac:dyDescent="0.15">
      <c r="A1767" s="47">
        <v>43349</v>
      </c>
      <c r="B1767" s="48">
        <v>1.2929999999999999</v>
      </c>
    </row>
    <row r="1768" spans="1:2" x14ac:dyDescent="0.15">
      <c r="A1768" s="47">
        <v>43350</v>
      </c>
      <c r="B1768" s="48">
        <v>1.2921</v>
      </c>
    </row>
    <row r="1769" spans="1:2" x14ac:dyDescent="0.15">
      <c r="A1769" s="47">
        <v>43353</v>
      </c>
      <c r="B1769" s="48">
        <v>1.3025</v>
      </c>
    </row>
    <row r="1770" spans="1:2" x14ac:dyDescent="0.15">
      <c r="A1770" s="47">
        <v>43354</v>
      </c>
      <c r="B1770" s="48">
        <v>1.3032999999999999</v>
      </c>
    </row>
    <row r="1771" spans="1:2" x14ac:dyDescent="0.15">
      <c r="A1771" s="47">
        <v>43355</v>
      </c>
      <c r="B1771" s="48">
        <v>1.3046</v>
      </c>
    </row>
    <row r="1772" spans="1:2" x14ac:dyDescent="0.15">
      <c r="A1772" s="47">
        <v>43356</v>
      </c>
      <c r="B1772" s="48">
        <v>1.3105</v>
      </c>
    </row>
    <row r="1773" spans="1:2" x14ac:dyDescent="0.15">
      <c r="A1773" s="47">
        <v>43357</v>
      </c>
      <c r="B1773" s="48">
        <v>1.3066</v>
      </c>
    </row>
    <row r="1774" spans="1:2" x14ac:dyDescent="0.15">
      <c r="A1774" s="47">
        <v>43360</v>
      </c>
      <c r="B1774" s="48">
        <v>1.3156000000000001</v>
      </c>
    </row>
    <row r="1775" spans="1:2" x14ac:dyDescent="0.15">
      <c r="A1775" s="47">
        <v>43361</v>
      </c>
      <c r="B1775" s="48">
        <v>1.3147</v>
      </c>
    </row>
    <row r="1776" spans="1:2" x14ac:dyDescent="0.15">
      <c r="A1776" s="47">
        <v>43362</v>
      </c>
      <c r="B1776" s="48">
        <v>1.3142</v>
      </c>
    </row>
    <row r="1777" spans="1:2" x14ac:dyDescent="0.15">
      <c r="A1777" s="47">
        <v>43363</v>
      </c>
      <c r="B1777" s="48">
        <v>1.3265</v>
      </c>
    </row>
    <row r="1778" spans="1:2" x14ac:dyDescent="0.15">
      <c r="A1778" s="47">
        <v>43364</v>
      </c>
      <c r="B1778" s="48">
        <v>1.3076000000000001</v>
      </c>
    </row>
    <row r="1779" spans="1:2" x14ac:dyDescent="0.15">
      <c r="A1779" s="47">
        <v>43367</v>
      </c>
      <c r="B1779" s="48">
        <v>1.3119000000000001</v>
      </c>
    </row>
    <row r="1780" spans="1:2" x14ac:dyDescent="0.15">
      <c r="A1780" s="47">
        <v>43368</v>
      </c>
      <c r="B1780" s="48">
        <v>1.3181</v>
      </c>
    </row>
    <row r="1781" spans="1:2" x14ac:dyDescent="0.15">
      <c r="A1781" s="47">
        <v>43369</v>
      </c>
      <c r="B1781" s="48">
        <v>1.3168</v>
      </c>
    </row>
    <row r="1782" spans="1:2" x14ac:dyDescent="0.15">
      <c r="A1782" s="47">
        <v>43370</v>
      </c>
      <c r="B1782" s="48">
        <v>1.3080000000000001</v>
      </c>
    </row>
    <row r="1783" spans="1:2" x14ac:dyDescent="0.15">
      <c r="A1783" s="47">
        <v>43371</v>
      </c>
      <c r="B1783" s="48">
        <v>1.3028</v>
      </c>
    </row>
    <row r="1784" spans="1:2" x14ac:dyDescent="0.15">
      <c r="A1784" s="47">
        <v>43374</v>
      </c>
      <c r="B1784" s="48">
        <v>1.3041</v>
      </c>
    </row>
    <row r="1785" spans="1:2" x14ac:dyDescent="0.15">
      <c r="A1785" s="47">
        <v>43375</v>
      </c>
      <c r="B1785" s="48">
        <v>1.2977000000000001</v>
      </c>
    </row>
    <row r="1786" spans="1:2" x14ac:dyDescent="0.15">
      <c r="A1786" s="47">
        <v>43376</v>
      </c>
      <c r="B1786" s="48">
        <v>1.2938000000000001</v>
      </c>
    </row>
    <row r="1787" spans="1:2" x14ac:dyDescent="0.15">
      <c r="A1787" s="47">
        <v>43377</v>
      </c>
      <c r="B1787" s="48">
        <v>1.3018000000000001</v>
      </c>
    </row>
    <row r="1788" spans="1:2" x14ac:dyDescent="0.15">
      <c r="A1788" s="47">
        <v>43378</v>
      </c>
      <c r="B1788" s="48">
        <v>1.3122</v>
      </c>
    </row>
    <row r="1789" spans="1:2" x14ac:dyDescent="0.15">
      <c r="A1789" s="47">
        <v>43381</v>
      </c>
      <c r="B1789" s="48">
        <v>1.3088</v>
      </c>
    </row>
    <row r="1790" spans="1:2" x14ac:dyDescent="0.15">
      <c r="A1790" s="47">
        <v>43382</v>
      </c>
      <c r="B1790" s="48">
        <v>1.3142</v>
      </c>
    </row>
    <row r="1791" spans="1:2" x14ac:dyDescent="0.15">
      <c r="A1791" s="47">
        <v>43383</v>
      </c>
      <c r="B1791" s="48">
        <v>1.3193999999999999</v>
      </c>
    </row>
    <row r="1792" spans="1:2" x14ac:dyDescent="0.15">
      <c r="A1792" s="47">
        <v>43384</v>
      </c>
      <c r="B1792" s="48">
        <v>1.3232999999999999</v>
      </c>
    </row>
    <row r="1793" spans="1:2" x14ac:dyDescent="0.15">
      <c r="A1793" s="47">
        <v>43385</v>
      </c>
      <c r="B1793" s="48">
        <v>1.3153999999999999</v>
      </c>
    </row>
    <row r="1794" spans="1:2" x14ac:dyDescent="0.15">
      <c r="A1794" s="47">
        <v>43388</v>
      </c>
      <c r="B1794" s="48">
        <v>1.3149999999999999</v>
      </c>
    </row>
    <row r="1795" spans="1:2" x14ac:dyDescent="0.15">
      <c r="A1795" s="47">
        <v>43389</v>
      </c>
      <c r="B1795" s="48">
        <v>1.3184</v>
      </c>
    </row>
    <row r="1796" spans="1:2" x14ac:dyDescent="0.15">
      <c r="A1796" s="47">
        <v>43390</v>
      </c>
      <c r="B1796" s="48">
        <v>1.3112999999999999</v>
      </c>
    </row>
    <row r="1797" spans="1:2" x14ac:dyDescent="0.15">
      <c r="A1797" s="47">
        <v>43391</v>
      </c>
      <c r="B1797" s="48">
        <v>1.3017000000000001</v>
      </c>
    </row>
    <row r="1798" spans="1:2" x14ac:dyDescent="0.15">
      <c r="A1798" s="47">
        <v>43392</v>
      </c>
      <c r="B1798" s="48">
        <v>1.3069999999999999</v>
      </c>
    </row>
    <row r="1799" spans="1:2" x14ac:dyDescent="0.15">
      <c r="A1799" s="47">
        <v>43395</v>
      </c>
      <c r="B1799" s="48">
        <v>1.2961</v>
      </c>
    </row>
    <row r="1800" spans="1:2" x14ac:dyDescent="0.15">
      <c r="A1800" s="47">
        <v>43396</v>
      </c>
      <c r="B1800" s="48">
        <v>1.2982</v>
      </c>
    </row>
    <row r="1801" spans="1:2" x14ac:dyDescent="0.15">
      <c r="A1801" s="47">
        <v>43397</v>
      </c>
      <c r="B1801" s="48">
        <v>1.288</v>
      </c>
    </row>
    <row r="1802" spans="1:2" x14ac:dyDescent="0.15">
      <c r="A1802" s="47">
        <v>43398</v>
      </c>
      <c r="B1802" s="48">
        <v>1.2815000000000001</v>
      </c>
    </row>
    <row r="1803" spans="1:2" x14ac:dyDescent="0.15">
      <c r="A1803" s="47">
        <v>43399</v>
      </c>
      <c r="B1803" s="48">
        <v>1.2830999999999999</v>
      </c>
    </row>
    <row r="1804" spans="1:2" x14ac:dyDescent="0.15">
      <c r="A1804" s="47">
        <v>43402</v>
      </c>
      <c r="B1804" s="48">
        <v>1.2790999999999999</v>
      </c>
    </row>
    <row r="1805" spans="1:2" x14ac:dyDescent="0.15">
      <c r="A1805" s="47">
        <v>43403</v>
      </c>
      <c r="B1805" s="48">
        <v>1.2704</v>
      </c>
    </row>
    <row r="1806" spans="1:2" x14ac:dyDescent="0.15">
      <c r="A1806" s="47">
        <v>43404</v>
      </c>
      <c r="B1806" s="48">
        <v>1.2765</v>
      </c>
    </row>
    <row r="1807" spans="1:2" x14ac:dyDescent="0.15">
      <c r="A1807" s="47">
        <v>43405</v>
      </c>
      <c r="B1807" s="48">
        <v>1.3008999999999999</v>
      </c>
    </row>
    <row r="1808" spans="1:2" x14ac:dyDescent="0.15">
      <c r="A1808" s="47">
        <v>43406</v>
      </c>
      <c r="B1808" s="48">
        <v>1.2969999999999999</v>
      </c>
    </row>
    <row r="1809" spans="1:2" x14ac:dyDescent="0.15">
      <c r="A1809" s="47">
        <v>43409</v>
      </c>
      <c r="B1809" s="48">
        <v>1.304</v>
      </c>
    </row>
    <row r="1810" spans="1:2" x14ac:dyDescent="0.15">
      <c r="A1810" s="47">
        <v>43410</v>
      </c>
      <c r="B1810" s="48">
        <v>1.3097000000000001</v>
      </c>
    </row>
    <row r="1811" spans="1:2" x14ac:dyDescent="0.15">
      <c r="A1811" s="47">
        <v>43411</v>
      </c>
      <c r="B1811" s="48">
        <v>1.3124</v>
      </c>
    </row>
    <row r="1812" spans="1:2" x14ac:dyDescent="0.15">
      <c r="A1812" s="47">
        <v>43412</v>
      </c>
      <c r="B1812" s="48">
        <v>1.3061</v>
      </c>
    </row>
    <row r="1813" spans="1:2" x14ac:dyDescent="0.15">
      <c r="A1813" s="47">
        <v>43413</v>
      </c>
      <c r="B1813" s="48">
        <v>1.2974000000000001</v>
      </c>
    </row>
    <row r="1814" spans="1:2" x14ac:dyDescent="0.15">
      <c r="A1814" s="47">
        <v>43416</v>
      </c>
      <c r="B1814" s="48">
        <v>1.2847</v>
      </c>
    </row>
    <row r="1815" spans="1:2" x14ac:dyDescent="0.15">
      <c r="A1815" s="47">
        <v>43417</v>
      </c>
      <c r="B1815" s="48">
        <v>1.2970999999999999</v>
      </c>
    </row>
    <row r="1816" spans="1:2" x14ac:dyDescent="0.15">
      <c r="A1816" s="47">
        <v>43418</v>
      </c>
      <c r="B1816" s="48">
        <v>1.2994000000000001</v>
      </c>
    </row>
    <row r="1817" spans="1:2" x14ac:dyDescent="0.15">
      <c r="A1817" s="47">
        <v>43419</v>
      </c>
      <c r="B1817" s="48">
        <v>1.2774000000000001</v>
      </c>
    </row>
    <row r="1818" spans="1:2" x14ac:dyDescent="0.15">
      <c r="A1818" s="47">
        <v>43420</v>
      </c>
      <c r="B1818" s="48">
        <v>1.2837000000000001</v>
      </c>
    </row>
    <row r="1819" spans="1:2" x14ac:dyDescent="0.15">
      <c r="A1819" s="47">
        <v>43423</v>
      </c>
      <c r="B1819" s="48">
        <v>1.2848999999999999</v>
      </c>
    </row>
    <row r="1820" spans="1:2" x14ac:dyDescent="0.15">
      <c r="A1820" s="47">
        <v>43424</v>
      </c>
      <c r="B1820" s="48">
        <v>1.2786</v>
      </c>
    </row>
    <row r="1821" spans="1:2" x14ac:dyDescent="0.15">
      <c r="A1821" s="47">
        <v>43425</v>
      </c>
      <c r="B1821" s="48">
        <v>1.2775000000000001</v>
      </c>
    </row>
    <row r="1822" spans="1:2" x14ac:dyDescent="0.15">
      <c r="A1822" s="47">
        <v>43426</v>
      </c>
      <c r="B1822" s="48">
        <v>1.2876000000000001</v>
      </c>
    </row>
    <row r="1823" spans="1:2" x14ac:dyDescent="0.15">
      <c r="A1823" s="47">
        <v>43427</v>
      </c>
      <c r="B1823" s="48">
        <v>1.2811999999999999</v>
      </c>
    </row>
    <row r="1824" spans="1:2" x14ac:dyDescent="0.15">
      <c r="A1824" s="47">
        <v>43430</v>
      </c>
      <c r="B1824" s="48">
        <v>1.2833000000000001</v>
      </c>
    </row>
    <row r="1825" spans="1:2" x14ac:dyDescent="0.15">
      <c r="A1825" s="47">
        <v>43431</v>
      </c>
      <c r="B1825" s="48">
        <v>1.2746999999999999</v>
      </c>
    </row>
    <row r="1826" spans="1:2" x14ac:dyDescent="0.15">
      <c r="A1826" s="47">
        <v>43432</v>
      </c>
      <c r="B1826" s="48">
        <v>1.2824</v>
      </c>
    </row>
    <row r="1827" spans="1:2" x14ac:dyDescent="0.15">
      <c r="A1827" s="47">
        <v>43433</v>
      </c>
      <c r="B1827" s="48">
        <v>1.2791999999999999</v>
      </c>
    </row>
    <row r="1828" spans="1:2" x14ac:dyDescent="0.15">
      <c r="A1828" s="47">
        <v>43434</v>
      </c>
      <c r="B1828" s="48">
        <v>1.2750999999999999</v>
      </c>
    </row>
    <row r="1829" spans="1:2" x14ac:dyDescent="0.15">
      <c r="A1829" s="47">
        <v>43437</v>
      </c>
      <c r="B1829" s="48">
        <v>1.2722</v>
      </c>
    </row>
    <row r="1830" spans="1:2" x14ac:dyDescent="0.15">
      <c r="A1830" s="47">
        <v>43438</v>
      </c>
      <c r="B1830" s="48">
        <v>1.2718</v>
      </c>
    </row>
    <row r="1831" spans="1:2" x14ac:dyDescent="0.15">
      <c r="A1831" s="47">
        <v>43439</v>
      </c>
      <c r="B1831" s="48">
        <v>1.2730999999999999</v>
      </c>
    </row>
    <row r="1832" spans="1:2" x14ac:dyDescent="0.15">
      <c r="A1832" s="47">
        <v>43440</v>
      </c>
      <c r="B1832" s="48">
        <v>1.2782</v>
      </c>
    </row>
    <row r="1833" spans="1:2" x14ac:dyDescent="0.15">
      <c r="A1833" s="47">
        <v>43441</v>
      </c>
      <c r="B1833" s="48">
        <v>1.2726</v>
      </c>
    </row>
    <row r="1834" spans="1:2" x14ac:dyDescent="0.15">
      <c r="A1834" s="47">
        <v>43444</v>
      </c>
      <c r="B1834" s="48">
        <v>1.2559</v>
      </c>
    </row>
    <row r="1835" spans="1:2" x14ac:dyDescent="0.15">
      <c r="A1835" s="47">
        <v>43445</v>
      </c>
      <c r="B1835" s="48">
        <v>1.2484</v>
      </c>
    </row>
    <row r="1836" spans="1:2" x14ac:dyDescent="0.15">
      <c r="A1836" s="47">
        <v>43446</v>
      </c>
      <c r="B1836" s="48">
        <v>1.2628999999999999</v>
      </c>
    </row>
    <row r="1837" spans="1:2" x14ac:dyDescent="0.15">
      <c r="A1837" s="47">
        <v>43447</v>
      </c>
      <c r="B1837" s="48">
        <v>1.2655000000000001</v>
      </c>
    </row>
    <row r="1838" spans="1:2" x14ac:dyDescent="0.15">
      <c r="A1838" s="47">
        <v>43448</v>
      </c>
      <c r="B1838" s="48">
        <v>1.2583</v>
      </c>
    </row>
    <row r="1839" spans="1:2" x14ac:dyDescent="0.15">
      <c r="A1839" s="47">
        <v>43451</v>
      </c>
      <c r="B1839" s="48">
        <v>1.2625</v>
      </c>
    </row>
    <row r="1840" spans="1:2" x14ac:dyDescent="0.15">
      <c r="A1840" s="47">
        <v>43452</v>
      </c>
      <c r="B1840" s="48">
        <v>1.2644</v>
      </c>
    </row>
    <row r="1841" spans="1:2" x14ac:dyDescent="0.15">
      <c r="A1841" s="47">
        <v>43453</v>
      </c>
      <c r="B1841" s="48">
        <v>1.2606999999999999</v>
      </c>
    </row>
    <row r="1842" spans="1:2" x14ac:dyDescent="0.15">
      <c r="A1842" s="47">
        <v>43454</v>
      </c>
      <c r="B1842" s="48">
        <v>1.2655000000000001</v>
      </c>
    </row>
    <row r="1843" spans="1:2" x14ac:dyDescent="0.15">
      <c r="A1843" s="47">
        <v>43455</v>
      </c>
      <c r="B1843" s="48">
        <v>1.2629999999999999</v>
      </c>
    </row>
    <row r="1844" spans="1:2" x14ac:dyDescent="0.15">
      <c r="A1844" s="47">
        <v>43458</v>
      </c>
      <c r="B1844" s="48">
        <v>1.2722</v>
      </c>
    </row>
    <row r="1845" spans="1:2" x14ac:dyDescent="0.15">
      <c r="A1845" s="47">
        <v>43459</v>
      </c>
      <c r="B1845" s="48">
        <v>1.2684</v>
      </c>
    </row>
    <row r="1846" spans="1:2" x14ac:dyDescent="0.15">
      <c r="A1846" s="47">
        <v>43460</v>
      </c>
      <c r="B1846" s="48">
        <v>1.2632000000000001</v>
      </c>
    </row>
    <row r="1847" spans="1:2" x14ac:dyDescent="0.15">
      <c r="A1847" s="47">
        <v>43461</v>
      </c>
      <c r="B1847" s="48">
        <v>1.2642</v>
      </c>
    </row>
    <row r="1848" spans="1:2" x14ac:dyDescent="0.15">
      <c r="A1848" s="47">
        <v>43462</v>
      </c>
      <c r="B1848" s="48">
        <v>1.2705</v>
      </c>
    </row>
    <row r="1849" spans="1:2" x14ac:dyDescent="0.15">
      <c r="A1849" s="47">
        <v>43465</v>
      </c>
      <c r="B1849" s="48">
        <v>1.2757000000000001</v>
      </c>
    </row>
    <row r="1850" spans="1:2" x14ac:dyDescent="0.15">
      <c r="A1850" s="47">
        <v>43466</v>
      </c>
      <c r="B1850" s="48">
        <v>1.2750999999999999</v>
      </c>
    </row>
    <row r="1851" spans="1:2" x14ac:dyDescent="0.15">
      <c r="A1851" s="47">
        <v>43467</v>
      </c>
      <c r="B1851" s="48">
        <v>1.2606999999999999</v>
      </c>
    </row>
    <row r="1852" spans="1:2" x14ac:dyDescent="0.15">
      <c r="A1852" s="47">
        <v>43468</v>
      </c>
      <c r="B1852" s="48">
        <v>1.2630999999999999</v>
      </c>
    </row>
    <row r="1853" spans="1:2" x14ac:dyDescent="0.15">
      <c r="A1853" s="47">
        <v>43469</v>
      </c>
      <c r="B1853" s="48">
        <v>1.2726</v>
      </c>
    </row>
    <row r="1854" spans="1:2" x14ac:dyDescent="0.15">
      <c r="A1854" s="47">
        <v>43472</v>
      </c>
      <c r="B1854" s="48">
        <v>1.2778</v>
      </c>
    </row>
    <row r="1855" spans="1:2" x14ac:dyDescent="0.15">
      <c r="A1855" s="47">
        <v>43473</v>
      </c>
      <c r="B1855" s="48">
        <v>1.2717000000000001</v>
      </c>
    </row>
    <row r="1856" spans="1:2" x14ac:dyDescent="0.15">
      <c r="A1856" s="47">
        <v>43474</v>
      </c>
      <c r="B1856" s="48">
        <v>1.2787999999999999</v>
      </c>
    </row>
    <row r="1857" spans="1:2" x14ac:dyDescent="0.15">
      <c r="A1857" s="47">
        <v>43475</v>
      </c>
      <c r="B1857" s="48">
        <v>1.2746999999999999</v>
      </c>
    </row>
    <row r="1858" spans="1:2" x14ac:dyDescent="0.15">
      <c r="A1858" s="47">
        <v>43476</v>
      </c>
      <c r="B1858" s="48">
        <v>1.2841</v>
      </c>
    </row>
    <row r="1859" spans="1:2" x14ac:dyDescent="0.15">
      <c r="A1859" s="47">
        <v>43479</v>
      </c>
      <c r="B1859" s="48">
        <v>1.2863</v>
      </c>
    </row>
    <row r="1860" spans="1:2" x14ac:dyDescent="0.15">
      <c r="A1860" s="47">
        <v>43480</v>
      </c>
      <c r="B1860" s="48">
        <v>1.2858000000000001</v>
      </c>
    </row>
    <row r="1861" spans="1:2" x14ac:dyDescent="0.15">
      <c r="A1861" s="47">
        <v>43481</v>
      </c>
      <c r="B1861" s="48">
        <v>1.2881</v>
      </c>
    </row>
    <row r="1862" spans="1:2" x14ac:dyDescent="0.15">
      <c r="A1862" s="47">
        <v>43482</v>
      </c>
      <c r="B1862" s="48">
        <v>1.2984</v>
      </c>
    </row>
    <row r="1863" spans="1:2" x14ac:dyDescent="0.15">
      <c r="A1863" s="47">
        <v>43483</v>
      </c>
      <c r="B1863" s="48">
        <v>1.2873000000000001</v>
      </c>
    </row>
    <row r="1864" spans="1:2" x14ac:dyDescent="0.15">
      <c r="A1864" s="47">
        <v>43486</v>
      </c>
      <c r="B1864" s="48">
        <v>1.2889999999999999</v>
      </c>
    </row>
    <row r="1865" spans="1:2" x14ac:dyDescent="0.15">
      <c r="A1865" s="47">
        <v>43487</v>
      </c>
      <c r="B1865" s="48">
        <v>1.2957000000000001</v>
      </c>
    </row>
    <row r="1866" spans="1:2" x14ac:dyDescent="0.15">
      <c r="A1866" s="47">
        <v>43488</v>
      </c>
      <c r="B1866" s="48">
        <v>1.3067</v>
      </c>
    </row>
    <row r="1867" spans="1:2" x14ac:dyDescent="0.15">
      <c r="A1867" s="47">
        <v>43489</v>
      </c>
      <c r="B1867" s="48">
        <v>1.3064</v>
      </c>
    </row>
    <row r="1868" spans="1:2" x14ac:dyDescent="0.15">
      <c r="A1868" s="47">
        <v>43490</v>
      </c>
      <c r="B1868" s="48">
        <v>1.3201000000000001</v>
      </c>
    </row>
    <row r="1869" spans="1:2" x14ac:dyDescent="0.15">
      <c r="A1869" s="47">
        <v>43493</v>
      </c>
      <c r="B1869" s="48">
        <v>1.3162</v>
      </c>
    </row>
    <row r="1870" spans="1:2" x14ac:dyDescent="0.15">
      <c r="A1870" s="47">
        <v>43494</v>
      </c>
      <c r="B1870" s="48">
        <v>1.3066</v>
      </c>
    </row>
    <row r="1871" spans="1:2" x14ac:dyDescent="0.15">
      <c r="A1871" s="47">
        <v>43495</v>
      </c>
      <c r="B1871" s="48">
        <v>1.3116000000000001</v>
      </c>
    </row>
    <row r="1872" spans="1:2" x14ac:dyDescent="0.15">
      <c r="A1872" s="47">
        <v>43496</v>
      </c>
      <c r="B1872" s="48">
        <v>1.31</v>
      </c>
    </row>
    <row r="1873" spans="1:2" x14ac:dyDescent="0.15">
      <c r="A1873" s="47">
        <v>43497</v>
      </c>
      <c r="B1873" s="48">
        <v>1.3083</v>
      </c>
    </row>
    <row r="1874" spans="1:2" x14ac:dyDescent="0.15">
      <c r="A1874" s="47">
        <v>43500</v>
      </c>
      <c r="B1874" s="48">
        <v>1.3035000000000001</v>
      </c>
    </row>
    <row r="1875" spans="1:2" x14ac:dyDescent="0.15">
      <c r="A1875" s="47">
        <v>43501</v>
      </c>
      <c r="B1875" s="48">
        <v>1.2942</v>
      </c>
    </row>
    <row r="1876" spans="1:2" x14ac:dyDescent="0.15">
      <c r="A1876" s="47">
        <v>43502</v>
      </c>
      <c r="B1876" s="48">
        <v>1.2931999999999999</v>
      </c>
    </row>
    <row r="1877" spans="1:2" x14ac:dyDescent="0.15">
      <c r="A1877" s="47">
        <v>43503</v>
      </c>
      <c r="B1877" s="48">
        <v>1.2952999999999999</v>
      </c>
    </row>
    <row r="1878" spans="1:2" x14ac:dyDescent="0.15">
      <c r="A1878" s="47">
        <v>43504</v>
      </c>
      <c r="B1878" s="48">
        <v>1.2947</v>
      </c>
    </row>
    <row r="1879" spans="1:2" x14ac:dyDescent="0.15">
      <c r="A1879" s="47">
        <v>43507</v>
      </c>
      <c r="B1879" s="48">
        <v>1.2848999999999999</v>
      </c>
    </row>
    <row r="1880" spans="1:2" x14ac:dyDescent="0.15">
      <c r="A1880" s="47">
        <v>43508</v>
      </c>
      <c r="B1880" s="48">
        <v>1.2889999999999999</v>
      </c>
    </row>
    <row r="1881" spans="1:2" x14ac:dyDescent="0.15">
      <c r="A1881" s="47">
        <v>43509</v>
      </c>
      <c r="B1881" s="48">
        <v>1.2844</v>
      </c>
    </row>
    <row r="1882" spans="1:2" x14ac:dyDescent="0.15">
      <c r="A1882" s="47">
        <v>43510</v>
      </c>
      <c r="B1882" s="48">
        <v>1.2810999999999999</v>
      </c>
    </row>
    <row r="1883" spans="1:2" x14ac:dyDescent="0.15">
      <c r="A1883" s="47">
        <v>43511</v>
      </c>
      <c r="B1883" s="48">
        <v>1.2888999999999999</v>
      </c>
    </row>
    <row r="1884" spans="1:2" x14ac:dyDescent="0.15">
      <c r="A1884" s="47">
        <v>43514</v>
      </c>
      <c r="B1884" s="48">
        <v>1.2921</v>
      </c>
    </row>
    <row r="1885" spans="1:2" x14ac:dyDescent="0.15">
      <c r="A1885" s="47">
        <v>43515</v>
      </c>
      <c r="B1885" s="48">
        <v>1.3062</v>
      </c>
    </row>
    <row r="1886" spans="1:2" x14ac:dyDescent="0.15">
      <c r="A1886" s="47">
        <v>43516</v>
      </c>
      <c r="B1886" s="48">
        <v>1.3048999999999999</v>
      </c>
    </row>
    <row r="1887" spans="1:2" x14ac:dyDescent="0.15">
      <c r="A1887" s="47">
        <v>43517</v>
      </c>
      <c r="B1887" s="48">
        <v>1.3048999999999999</v>
      </c>
    </row>
    <row r="1888" spans="1:2" x14ac:dyDescent="0.15">
      <c r="A1888" s="47">
        <v>43518</v>
      </c>
      <c r="B1888" s="48">
        <v>1.3051999999999999</v>
      </c>
    </row>
    <row r="1889" spans="1:2" x14ac:dyDescent="0.15">
      <c r="A1889" s="47">
        <v>43521</v>
      </c>
      <c r="B1889" s="48">
        <v>1.3095000000000001</v>
      </c>
    </row>
    <row r="1890" spans="1:2" x14ac:dyDescent="0.15">
      <c r="A1890" s="47">
        <v>43522</v>
      </c>
      <c r="B1890" s="48">
        <v>1.325</v>
      </c>
    </row>
    <row r="1891" spans="1:2" x14ac:dyDescent="0.15">
      <c r="A1891" s="47">
        <v>43523</v>
      </c>
      <c r="B1891" s="48">
        <v>1.3308</v>
      </c>
    </row>
    <row r="1892" spans="1:2" x14ac:dyDescent="0.15">
      <c r="A1892" s="47">
        <v>43524</v>
      </c>
      <c r="B1892" s="48">
        <v>1.3261000000000001</v>
      </c>
    </row>
    <row r="1893" spans="1:2" x14ac:dyDescent="0.15">
      <c r="A1893" s="47">
        <v>43525</v>
      </c>
      <c r="B1893" s="48">
        <v>1.3202</v>
      </c>
    </row>
    <row r="1894" spans="1:2" x14ac:dyDescent="0.15">
      <c r="A1894" s="47">
        <v>43528</v>
      </c>
      <c r="B1894" s="48">
        <v>1.3186</v>
      </c>
    </row>
    <row r="1895" spans="1:2" x14ac:dyDescent="0.15">
      <c r="A1895" s="47">
        <v>43529</v>
      </c>
      <c r="B1895" s="48">
        <v>1.3174999999999999</v>
      </c>
    </row>
    <row r="1896" spans="1:2" x14ac:dyDescent="0.15">
      <c r="A1896" s="47">
        <v>43530</v>
      </c>
      <c r="B1896" s="48">
        <v>1.3169</v>
      </c>
    </row>
    <row r="1897" spans="1:2" x14ac:dyDescent="0.15">
      <c r="A1897" s="47">
        <v>43531</v>
      </c>
      <c r="B1897" s="48">
        <v>1.3084</v>
      </c>
    </row>
    <row r="1898" spans="1:2" x14ac:dyDescent="0.15">
      <c r="A1898" s="47">
        <v>43532</v>
      </c>
      <c r="B1898" s="48">
        <v>1.3015000000000001</v>
      </c>
    </row>
    <row r="1899" spans="1:2" x14ac:dyDescent="0.15">
      <c r="A1899" s="47">
        <v>43535</v>
      </c>
      <c r="B1899" s="48">
        <v>1.3150999999999999</v>
      </c>
    </row>
    <row r="1900" spans="1:2" x14ac:dyDescent="0.15">
      <c r="A1900" s="47">
        <v>43536</v>
      </c>
      <c r="B1900" s="48">
        <v>1.3072999999999999</v>
      </c>
    </row>
    <row r="1901" spans="1:2" x14ac:dyDescent="0.15">
      <c r="A1901" s="47">
        <v>43537</v>
      </c>
      <c r="B1901" s="48">
        <v>1.3337000000000001</v>
      </c>
    </row>
    <row r="1902" spans="1:2" x14ac:dyDescent="0.15">
      <c r="A1902" s="47">
        <v>43538</v>
      </c>
      <c r="B1902" s="48">
        <v>1.3239000000000001</v>
      </c>
    </row>
    <row r="1903" spans="1:2" x14ac:dyDescent="0.15">
      <c r="A1903" s="47">
        <v>43539</v>
      </c>
      <c r="B1903" s="48">
        <v>1.3289</v>
      </c>
    </row>
    <row r="1904" spans="1:2" x14ac:dyDescent="0.15">
      <c r="A1904" s="47">
        <v>43542</v>
      </c>
      <c r="B1904" s="48">
        <v>1.3254999999999999</v>
      </c>
    </row>
    <row r="1905" spans="1:2" x14ac:dyDescent="0.15">
      <c r="A1905" s="47">
        <v>43543</v>
      </c>
      <c r="B1905" s="48">
        <v>1.3267</v>
      </c>
    </row>
    <row r="1906" spans="1:2" x14ac:dyDescent="0.15">
      <c r="A1906" s="47">
        <v>43544</v>
      </c>
      <c r="B1906" s="48">
        <v>1.3196000000000001</v>
      </c>
    </row>
    <row r="1907" spans="1:2" x14ac:dyDescent="0.15">
      <c r="A1907" s="47">
        <v>43545</v>
      </c>
      <c r="B1907" s="48">
        <v>1.3107</v>
      </c>
    </row>
    <row r="1908" spans="1:2" x14ac:dyDescent="0.15">
      <c r="A1908" s="47">
        <v>43546</v>
      </c>
      <c r="B1908" s="48">
        <v>1.3209</v>
      </c>
    </row>
    <row r="1909" spans="1:2" x14ac:dyDescent="0.15">
      <c r="A1909" s="47">
        <v>43549</v>
      </c>
      <c r="B1909" s="48">
        <v>1.3202</v>
      </c>
    </row>
    <row r="1910" spans="1:2" x14ac:dyDescent="0.15">
      <c r="A1910" s="47">
        <v>43550</v>
      </c>
      <c r="B1910" s="48">
        <v>1.3207</v>
      </c>
    </row>
    <row r="1911" spans="1:2" x14ac:dyDescent="0.15">
      <c r="A1911" s="47">
        <v>43551</v>
      </c>
      <c r="B1911" s="48">
        <v>1.3189</v>
      </c>
    </row>
    <row r="1912" spans="1:2" x14ac:dyDescent="0.15">
      <c r="A1912" s="47">
        <v>43552</v>
      </c>
      <c r="B1912" s="48">
        <v>1.3043</v>
      </c>
    </row>
    <row r="1913" spans="1:2" x14ac:dyDescent="0.15">
      <c r="A1913" s="47">
        <v>43553</v>
      </c>
      <c r="B1913" s="48">
        <v>1.3030999999999999</v>
      </c>
    </row>
    <row r="1914" spans="1:2" x14ac:dyDescent="0.15">
      <c r="A1914" s="47">
        <v>43556</v>
      </c>
      <c r="B1914" s="48">
        <v>1.3099000000000001</v>
      </c>
    </row>
    <row r="1915" spans="1:2" x14ac:dyDescent="0.15">
      <c r="A1915" s="47">
        <v>43557</v>
      </c>
      <c r="B1915" s="48">
        <v>1.3127</v>
      </c>
    </row>
    <row r="1916" spans="1:2" x14ac:dyDescent="0.15">
      <c r="A1916" s="47">
        <v>43558</v>
      </c>
      <c r="B1916" s="48">
        <v>1.3159000000000001</v>
      </c>
    </row>
    <row r="1917" spans="1:2" x14ac:dyDescent="0.15">
      <c r="A1917" s="47">
        <v>43559</v>
      </c>
      <c r="B1917" s="48">
        <v>1.3077000000000001</v>
      </c>
    </row>
    <row r="1918" spans="1:2" x14ac:dyDescent="0.15">
      <c r="A1918" s="47">
        <v>43560</v>
      </c>
      <c r="B1918" s="48">
        <v>1.3036000000000001</v>
      </c>
    </row>
    <row r="1919" spans="1:2" x14ac:dyDescent="0.15">
      <c r="A1919" s="47">
        <v>43563</v>
      </c>
      <c r="B1919" s="48">
        <v>1.3062</v>
      </c>
    </row>
    <row r="1920" spans="1:2" x14ac:dyDescent="0.15">
      <c r="A1920" s="47">
        <v>43564</v>
      </c>
      <c r="B1920" s="48">
        <v>1.306</v>
      </c>
    </row>
    <row r="1921" spans="1:2" x14ac:dyDescent="0.15">
      <c r="A1921" s="47">
        <v>43565</v>
      </c>
      <c r="B1921" s="48">
        <v>1.3089</v>
      </c>
    </row>
    <row r="1922" spans="1:2" x14ac:dyDescent="0.15">
      <c r="A1922" s="47">
        <v>43566</v>
      </c>
      <c r="B1922" s="48">
        <v>1.3053999999999999</v>
      </c>
    </row>
    <row r="1923" spans="1:2" x14ac:dyDescent="0.15">
      <c r="A1923" s="47">
        <v>43567</v>
      </c>
      <c r="B1923" s="48">
        <v>1.3081</v>
      </c>
    </row>
    <row r="1924" spans="1:2" x14ac:dyDescent="0.15">
      <c r="A1924" s="47">
        <v>43570</v>
      </c>
      <c r="B1924" s="48">
        <v>1.3097000000000001</v>
      </c>
    </row>
    <row r="1925" spans="1:2" x14ac:dyDescent="0.15">
      <c r="A1925" s="47">
        <v>43571</v>
      </c>
      <c r="B1925" s="48">
        <v>1.3048</v>
      </c>
    </row>
    <row r="1926" spans="1:2" x14ac:dyDescent="0.15">
      <c r="A1926" s="47">
        <v>43572</v>
      </c>
      <c r="B1926" s="48">
        <v>1.3043</v>
      </c>
    </row>
    <row r="1927" spans="1:2" x14ac:dyDescent="0.15">
      <c r="A1927" s="47">
        <v>43573</v>
      </c>
      <c r="B1927" s="48">
        <v>1.2996000000000001</v>
      </c>
    </row>
    <row r="1928" spans="1:2" x14ac:dyDescent="0.15">
      <c r="A1928" s="47">
        <v>43574</v>
      </c>
      <c r="B1928" s="48">
        <v>1.2988</v>
      </c>
    </row>
    <row r="1929" spans="1:2" x14ac:dyDescent="0.15">
      <c r="A1929" s="47">
        <v>43577</v>
      </c>
      <c r="B1929" s="48">
        <v>1.2982</v>
      </c>
    </row>
    <row r="1930" spans="1:2" x14ac:dyDescent="0.15">
      <c r="A1930" s="47">
        <v>43578</v>
      </c>
      <c r="B1930" s="48">
        <v>1.2937000000000001</v>
      </c>
    </row>
    <row r="1931" spans="1:2" x14ac:dyDescent="0.15">
      <c r="A1931" s="47">
        <v>43579</v>
      </c>
      <c r="B1931" s="48">
        <v>1.29</v>
      </c>
    </row>
    <row r="1932" spans="1:2" x14ac:dyDescent="0.15">
      <c r="A1932" s="47">
        <v>43580</v>
      </c>
      <c r="B1932" s="48">
        <v>1.2897000000000001</v>
      </c>
    </row>
    <row r="1933" spans="1:2" x14ac:dyDescent="0.15">
      <c r="A1933" s="47">
        <v>43581</v>
      </c>
      <c r="B1933" s="48">
        <v>1.2917000000000001</v>
      </c>
    </row>
    <row r="1934" spans="1:2" x14ac:dyDescent="0.15">
      <c r="A1934" s="47">
        <v>43584</v>
      </c>
      <c r="B1934" s="48">
        <v>1.2936000000000001</v>
      </c>
    </row>
    <row r="1935" spans="1:2" x14ac:dyDescent="0.15">
      <c r="A1935" s="47">
        <v>43585</v>
      </c>
      <c r="B1935" s="48">
        <v>1.3030999999999999</v>
      </c>
    </row>
    <row r="1936" spans="1:2" x14ac:dyDescent="0.15">
      <c r="A1936" s="47">
        <v>43586</v>
      </c>
      <c r="B1936" s="48">
        <v>1.3048999999999999</v>
      </c>
    </row>
    <row r="1937" spans="1:2" x14ac:dyDescent="0.15">
      <c r="A1937" s="47">
        <v>43587</v>
      </c>
      <c r="B1937" s="48">
        <v>1.3033999999999999</v>
      </c>
    </row>
    <row r="1938" spans="1:2" x14ac:dyDescent="0.15">
      <c r="A1938" s="47">
        <v>43588</v>
      </c>
      <c r="B1938" s="48">
        <v>1.3170999999999999</v>
      </c>
    </row>
    <row r="1939" spans="1:2" x14ac:dyDescent="0.15">
      <c r="A1939" s="47">
        <v>43591</v>
      </c>
      <c r="B1939" s="48">
        <v>1.3095000000000001</v>
      </c>
    </row>
    <row r="1940" spans="1:2" x14ac:dyDescent="0.15">
      <c r="A1940" s="47">
        <v>43592</v>
      </c>
      <c r="B1940" s="48">
        <v>1.3073999999999999</v>
      </c>
    </row>
    <row r="1941" spans="1:2" x14ac:dyDescent="0.15">
      <c r="A1941" s="47">
        <v>43593</v>
      </c>
      <c r="B1941" s="48">
        <v>1.3006</v>
      </c>
    </row>
    <row r="1942" spans="1:2" x14ac:dyDescent="0.15">
      <c r="A1942" s="47">
        <v>43594</v>
      </c>
      <c r="B1942" s="48">
        <v>1.3012999999999999</v>
      </c>
    </row>
    <row r="1943" spans="1:2" x14ac:dyDescent="0.15">
      <c r="A1943" s="47">
        <v>43595</v>
      </c>
      <c r="B1943" s="48">
        <v>1.2999000000000001</v>
      </c>
    </row>
    <row r="1944" spans="1:2" x14ac:dyDescent="0.15">
      <c r="A1944" s="47">
        <v>43598</v>
      </c>
      <c r="B1944" s="48">
        <v>1.2955000000000001</v>
      </c>
    </row>
    <row r="1945" spans="1:2" x14ac:dyDescent="0.15">
      <c r="A1945" s="47">
        <v>43599</v>
      </c>
      <c r="B1945" s="48">
        <v>1.2904</v>
      </c>
    </row>
    <row r="1946" spans="1:2" x14ac:dyDescent="0.15">
      <c r="A1946" s="47">
        <v>43600</v>
      </c>
      <c r="B1946" s="48">
        <v>1.2847999999999999</v>
      </c>
    </row>
    <row r="1947" spans="1:2" x14ac:dyDescent="0.15">
      <c r="A1947" s="47">
        <v>43601</v>
      </c>
      <c r="B1947" s="48">
        <v>1.2795000000000001</v>
      </c>
    </row>
    <row r="1948" spans="1:2" x14ac:dyDescent="0.15">
      <c r="A1948" s="47">
        <v>43602</v>
      </c>
      <c r="B1948" s="48">
        <v>1.2718</v>
      </c>
    </row>
    <row r="1949" spans="1:2" x14ac:dyDescent="0.15">
      <c r="A1949" s="47">
        <v>43605</v>
      </c>
      <c r="B1949" s="48">
        <v>1.2726</v>
      </c>
    </row>
    <row r="1950" spans="1:2" x14ac:dyDescent="0.15">
      <c r="A1950" s="47">
        <v>43606</v>
      </c>
      <c r="B1950" s="48">
        <v>1.2705</v>
      </c>
    </row>
    <row r="1951" spans="1:2" x14ac:dyDescent="0.15">
      <c r="A1951" s="47">
        <v>43607</v>
      </c>
      <c r="B1951" s="48">
        <v>1.2661</v>
      </c>
    </row>
    <row r="1952" spans="1:2" x14ac:dyDescent="0.15">
      <c r="A1952" s="47">
        <v>43608</v>
      </c>
      <c r="B1952" s="48">
        <v>1.2654000000000001</v>
      </c>
    </row>
    <row r="1953" spans="1:2" x14ac:dyDescent="0.15">
      <c r="A1953" s="47">
        <v>43609</v>
      </c>
      <c r="B1953" s="48">
        <v>1.2712000000000001</v>
      </c>
    </row>
    <row r="1954" spans="1:2" x14ac:dyDescent="0.15">
      <c r="A1954" s="47">
        <v>43612</v>
      </c>
      <c r="B1954" s="48">
        <v>1.2677</v>
      </c>
    </row>
    <row r="1955" spans="1:2" x14ac:dyDescent="0.15">
      <c r="A1955" s="47">
        <v>43613</v>
      </c>
      <c r="B1955" s="48">
        <v>1.2652000000000001</v>
      </c>
    </row>
    <row r="1956" spans="1:2" x14ac:dyDescent="0.15">
      <c r="A1956" s="47">
        <v>43614</v>
      </c>
      <c r="B1956" s="48">
        <v>1.2625</v>
      </c>
    </row>
    <row r="1957" spans="1:2" x14ac:dyDescent="0.15">
      <c r="A1957" s="47">
        <v>43615</v>
      </c>
      <c r="B1957" s="48">
        <v>1.2605999999999999</v>
      </c>
    </row>
    <row r="1958" spans="1:2" x14ac:dyDescent="0.15">
      <c r="A1958" s="47">
        <v>43616</v>
      </c>
      <c r="B1958" s="48">
        <v>1.2630999999999999</v>
      </c>
    </row>
    <row r="1959" spans="1:2" x14ac:dyDescent="0.15">
      <c r="A1959" s="47">
        <v>43619</v>
      </c>
      <c r="B1959" s="48">
        <v>1.2663</v>
      </c>
    </row>
    <row r="1960" spans="1:2" x14ac:dyDescent="0.15">
      <c r="A1960" s="47">
        <v>43620</v>
      </c>
      <c r="B1960" s="48">
        <v>1.2696000000000001</v>
      </c>
    </row>
    <row r="1961" spans="1:2" x14ac:dyDescent="0.15">
      <c r="A1961" s="47">
        <v>43621</v>
      </c>
      <c r="B1961" s="48">
        <v>1.2684</v>
      </c>
    </row>
    <row r="1962" spans="1:2" x14ac:dyDescent="0.15">
      <c r="A1962" s="47">
        <v>43622</v>
      </c>
      <c r="B1962" s="48">
        <v>1.2699</v>
      </c>
    </row>
    <row r="1963" spans="1:2" x14ac:dyDescent="0.15">
      <c r="A1963" s="47">
        <v>43623</v>
      </c>
      <c r="B1963" s="48">
        <v>1.2734000000000001</v>
      </c>
    </row>
    <row r="1964" spans="1:2" x14ac:dyDescent="0.15">
      <c r="A1964" s="47">
        <v>43626</v>
      </c>
      <c r="B1964" s="48">
        <v>1.2683</v>
      </c>
    </row>
    <row r="1965" spans="1:2" x14ac:dyDescent="0.15">
      <c r="A1965" s="47">
        <v>43627</v>
      </c>
      <c r="B1965" s="48">
        <v>1.2722</v>
      </c>
    </row>
    <row r="1966" spans="1:2" x14ac:dyDescent="0.15">
      <c r="A1966" s="47">
        <v>43628</v>
      </c>
      <c r="B1966" s="48">
        <v>1.2685999999999999</v>
      </c>
    </row>
    <row r="1967" spans="1:2" x14ac:dyDescent="0.15">
      <c r="A1967" s="47">
        <v>43629</v>
      </c>
      <c r="B1967" s="48">
        <v>1.2672000000000001</v>
      </c>
    </row>
    <row r="1968" spans="1:2" x14ac:dyDescent="0.15">
      <c r="A1968" s="47">
        <v>43630</v>
      </c>
      <c r="B1968" s="48">
        <v>1.2589999999999999</v>
      </c>
    </row>
    <row r="1969" spans="1:2" x14ac:dyDescent="0.15">
      <c r="A1969" s="47">
        <v>43633</v>
      </c>
      <c r="B1969" s="48">
        <v>1.2532000000000001</v>
      </c>
    </row>
    <row r="1970" spans="1:2" x14ac:dyDescent="0.15">
      <c r="A1970" s="47">
        <v>43634</v>
      </c>
      <c r="B1970" s="48">
        <v>1.2556</v>
      </c>
    </row>
    <row r="1971" spans="1:2" x14ac:dyDescent="0.15">
      <c r="A1971" s="47">
        <v>43635</v>
      </c>
      <c r="B1971" s="48">
        <v>1.2639</v>
      </c>
    </row>
    <row r="1972" spans="1:2" x14ac:dyDescent="0.15">
      <c r="A1972" s="47">
        <v>43636</v>
      </c>
      <c r="B1972" s="48">
        <v>1.2699</v>
      </c>
    </row>
    <row r="1973" spans="1:2" x14ac:dyDescent="0.15">
      <c r="A1973" s="47">
        <v>43637</v>
      </c>
      <c r="B1973" s="48">
        <v>1.274</v>
      </c>
    </row>
    <row r="1974" spans="1:2" x14ac:dyDescent="0.15">
      <c r="A1974" s="47">
        <v>43640</v>
      </c>
      <c r="B1974" s="48">
        <v>1.2739</v>
      </c>
    </row>
    <row r="1975" spans="1:2" x14ac:dyDescent="0.15">
      <c r="A1975" s="47">
        <v>43641</v>
      </c>
      <c r="B1975" s="48">
        <v>1.2697000000000001</v>
      </c>
    </row>
    <row r="1976" spans="1:2" x14ac:dyDescent="0.15">
      <c r="A1976" s="47">
        <v>43642</v>
      </c>
      <c r="B1976" s="48">
        <v>1.2687999999999999</v>
      </c>
    </row>
    <row r="1977" spans="1:2" x14ac:dyDescent="0.15">
      <c r="A1977" s="47">
        <v>43643</v>
      </c>
      <c r="B1977" s="48">
        <v>1.2675000000000001</v>
      </c>
    </row>
    <row r="1978" spans="1:2" x14ac:dyDescent="0.15">
      <c r="A1978" s="47">
        <v>43644</v>
      </c>
      <c r="B1978" s="48">
        <v>1.2693000000000001</v>
      </c>
    </row>
    <row r="1979" spans="1:2" x14ac:dyDescent="0.15">
      <c r="A1979" s="47">
        <v>43647</v>
      </c>
      <c r="B1979" s="48">
        <v>1.2638</v>
      </c>
    </row>
    <row r="1980" spans="1:2" x14ac:dyDescent="0.15">
      <c r="A1980" s="47">
        <v>43648</v>
      </c>
      <c r="B1980" s="48">
        <v>1.2591000000000001</v>
      </c>
    </row>
    <row r="1981" spans="1:2" x14ac:dyDescent="0.15">
      <c r="A1981" s="47">
        <v>43649</v>
      </c>
      <c r="B1981" s="48">
        <v>1.2571000000000001</v>
      </c>
    </row>
    <row r="1982" spans="1:2" x14ac:dyDescent="0.15">
      <c r="A1982" s="47">
        <v>43650</v>
      </c>
      <c r="B1982" s="48">
        <v>1.2576000000000001</v>
      </c>
    </row>
    <row r="1983" spans="1:2" x14ac:dyDescent="0.15">
      <c r="A1983" s="47">
        <v>43651</v>
      </c>
      <c r="B1983" s="48">
        <v>1.2523</v>
      </c>
    </row>
    <row r="1984" spans="1:2" x14ac:dyDescent="0.15">
      <c r="A1984" s="47">
        <v>43654</v>
      </c>
      <c r="B1984" s="48">
        <v>1.2509999999999999</v>
      </c>
    </row>
    <row r="1985" spans="1:2" x14ac:dyDescent="0.15">
      <c r="A1985" s="47">
        <v>43655</v>
      </c>
      <c r="B1985" s="48">
        <v>1.2464999999999999</v>
      </c>
    </row>
    <row r="1986" spans="1:2" x14ac:dyDescent="0.15">
      <c r="A1986" s="47">
        <v>43656</v>
      </c>
      <c r="B1986" s="48">
        <v>1.2499</v>
      </c>
    </row>
    <row r="1987" spans="1:2" x14ac:dyDescent="0.15">
      <c r="A1987" s="47">
        <v>43657</v>
      </c>
      <c r="B1987" s="48">
        <v>1.2519</v>
      </c>
    </row>
    <row r="1988" spans="1:2" x14ac:dyDescent="0.15">
      <c r="A1988" s="47">
        <v>43658</v>
      </c>
      <c r="B1988" s="48">
        <v>1.2573000000000001</v>
      </c>
    </row>
    <row r="1989" spans="1:2" x14ac:dyDescent="0.15">
      <c r="A1989" s="47">
        <v>43661</v>
      </c>
      <c r="B1989" s="48">
        <v>1.2514000000000001</v>
      </c>
    </row>
    <row r="1990" spans="1:2" x14ac:dyDescent="0.15">
      <c r="A1990" s="47">
        <v>43662</v>
      </c>
      <c r="B1990" s="48">
        <v>1.2403</v>
      </c>
    </row>
    <row r="1991" spans="1:2" x14ac:dyDescent="0.15">
      <c r="A1991" s="47">
        <v>43663</v>
      </c>
      <c r="B1991" s="48">
        <v>1.2431000000000001</v>
      </c>
    </row>
    <row r="1992" spans="1:2" x14ac:dyDescent="0.15">
      <c r="A1992" s="47">
        <v>43664</v>
      </c>
      <c r="B1992" s="48">
        <v>1.2545999999999999</v>
      </c>
    </row>
    <row r="1993" spans="1:2" x14ac:dyDescent="0.15">
      <c r="A1993" s="47">
        <v>43665</v>
      </c>
      <c r="B1993" s="48">
        <v>1.25</v>
      </c>
    </row>
    <row r="1994" spans="1:2" x14ac:dyDescent="0.15">
      <c r="A1994" s="47">
        <v>43668</v>
      </c>
      <c r="B1994" s="48">
        <v>1.2474000000000001</v>
      </c>
    </row>
    <row r="1995" spans="1:2" x14ac:dyDescent="0.15">
      <c r="A1995" s="47">
        <v>43669</v>
      </c>
      <c r="B1995" s="48">
        <v>1.2436</v>
      </c>
    </row>
    <row r="1996" spans="1:2" x14ac:dyDescent="0.15">
      <c r="A1996" s="47">
        <v>43670</v>
      </c>
      <c r="B1996" s="48">
        <v>1.2481</v>
      </c>
    </row>
    <row r="1997" spans="1:2" x14ac:dyDescent="0.15">
      <c r="A1997" s="47">
        <v>43671</v>
      </c>
      <c r="B1997" s="48">
        <v>1.2454000000000001</v>
      </c>
    </row>
    <row r="1998" spans="1:2" x14ac:dyDescent="0.15">
      <c r="A1998" s="47">
        <v>43672</v>
      </c>
      <c r="B1998" s="48">
        <v>1.238</v>
      </c>
    </row>
    <row r="1999" spans="1:2" x14ac:dyDescent="0.15">
      <c r="A1999" s="47">
        <v>43675</v>
      </c>
      <c r="B1999" s="48">
        <v>1.2217</v>
      </c>
    </row>
    <row r="2000" spans="1:2" x14ac:dyDescent="0.15">
      <c r="A2000" s="47">
        <v>43676</v>
      </c>
      <c r="B2000" s="48">
        <v>1.2149000000000001</v>
      </c>
    </row>
    <row r="2001" spans="1:2" x14ac:dyDescent="0.15">
      <c r="A2001" s="47">
        <v>43677</v>
      </c>
      <c r="B2001" s="48">
        <v>1.2157</v>
      </c>
    </row>
    <row r="2002" spans="1:2" x14ac:dyDescent="0.15">
      <c r="A2002" s="47">
        <v>43678</v>
      </c>
      <c r="B2002" s="48">
        <v>1.2131000000000001</v>
      </c>
    </row>
    <row r="2003" spans="1:2" x14ac:dyDescent="0.15">
      <c r="A2003" s="47">
        <v>43679</v>
      </c>
      <c r="B2003" s="48">
        <v>1.2154</v>
      </c>
    </row>
    <row r="2004" spans="1:2" x14ac:dyDescent="0.15">
      <c r="A2004" s="47">
        <v>43682</v>
      </c>
      <c r="B2004" s="48">
        <v>1.2141</v>
      </c>
    </row>
    <row r="2005" spans="1:2" x14ac:dyDescent="0.15">
      <c r="A2005" s="47">
        <v>43683</v>
      </c>
      <c r="B2005" s="48">
        <v>1.2165999999999999</v>
      </c>
    </row>
    <row r="2006" spans="1:2" x14ac:dyDescent="0.15">
      <c r="A2006" s="47">
        <v>43684</v>
      </c>
      <c r="B2006" s="48">
        <v>1.214</v>
      </c>
    </row>
    <row r="2007" spans="1:2" x14ac:dyDescent="0.15">
      <c r="A2007" s="47">
        <v>43685</v>
      </c>
      <c r="B2007" s="48">
        <v>1.2131000000000001</v>
      </c>
    </row>
    <row r="2008" spans="1:2" x14ac:dyDescent="0.15">
      <c r="A2008" s="47">
        <v>43686</v>
      </c>
      <c r="B2008" s="48">
        <v>1.2034</v>
      </c>
    </row>
    <row r="2009" spans="1:2" x14ac:dyDescent="0.15">
      <c r="A2009" s="47">
        <v>43689</v>
      </c>
      <c r="B2009" s="48">
        <v>1.2073</v>
      </c>
    </row>
    <row r="2010" spans="1:2" x14ac:dyDescent="0.15">
      <c r="A2010" s="47">
        <v>43690</v>
      </c>
      <c r="B2010" s="48">
        <v>1.2058</v>
      </c>
    </row>
    <row r="2011" spans="1:2" x14ac:dyDescent="0.15">
      <c r="A2011" s="47">
        <v>43691</v>
      </c>
      <c r="B2011" s="48">
        <v>1.2059</v>
      </c>
    </row>
    <row r="2012" spans="1:2" x14ac:dyDescent="0.15">
      <c r="A2012" s="47">
        <v>43692</v>
      </c>
      <c r="B2012" s="48">
        <v>1.2083999999999999</v>
      </c>
    </row>
    <row r="2013" spans="1:2" x14ac:dyDescent="0.15">
      <c r="A2013" s="47">
        <v>43693</v>
      </c>
      <c r="B2013" s="48">
        <v>1.2149000000000001</v>
      </c>
    </row>
    <row r="2014" spans="1:2" x14ac:dyDescent="0.15">
      <c r="A2014" s="47">
        <v>43696</v>
      </c>
      <c r="B2014" s="48">
        <v>1.2124999999999999</v>
      </c>
    </row>
    <row r="2015" spans="1:2" x14ac:dyDescent="0.15">
      <c r="A2015" s="47">
        <v>43697</v>
      </c>
      <c r="B2015" s="48">
        <v>1.2168000000000001</v>
      </c>
    </row>
    <row r="2016" spans="1:2" x14ac:dyDescent="0.15">
      <c r="A2016" s="47">
        <v>43698</v>
      </c>
      <c r="B2016" s="48">
        <v>1.2125999999999999</v>
      </c>
    </row>
    <row r="2017" spans="1:2" x14ac:dyDescent="0.15">
      <c r="A2017" s="47">
        <v>43699</v>
      </c>
      <c r="B2017" s="48">
        <v>1.2250000000000001</v>
      </c>
    </row>
    <row r="2018" spans="1:2" x14ac:dyDescent="0.15">
      <c r="A2018" s="47">
        <v>43700</v>
      </c>
      <c r="B2018" s="48">
        <v>1.2277</v>
      </c>
    </row>
    <row r="2019" spans="1:2" x14ac:dyDescent="0.15">
      <c r="A2019" s="47">
        <v>43703</v>
      </c>
      <c r="B2019" s="48">
        <v>1.2215</v>
      </c>
    </row>
    <row r="2020" spans="1:2" x14ac:dyDescent="0.15">
      <c r="A2020" s="47">
        <v>43704</v>
      </c>
      <c r="B2020" s="48">
        <v>1.2286999999999999</v>
      </c>
    </row>
    <row r="2021" spans="1:2" x14ac:dyDescent="0.15">
      <c r="A2021" s="47">
        <v>43705</v>
      </c>
      <c r="B2021" s="48">
        <v>1.2209000000000001</v>
      </c>
    </row>
    <row r="2022" spans="1:2" x14ac:dyDescent="0.15">
      <c r="A2022" s="47">
        <v>43706</v>
      </c>
      <c r="B2022" s="48">
        <v>1.2188000000000001</v>
      </c>
    </row>
    <row r="2023" spans="1:2" x14ac:dyDescent="0.15">
      <c r="A2023" s="47">
        <v>43707</v>
      </c>
      <c r="B2023" s="48">
        <v>1.2156</v>
      </c>
    </row>
    <row r="2024" spans="1:2" x14ac:dyDescent="0.15">
      <c r="A2024" s="47">
        <v>43710</v>
      </c>
      <c r="B2024" s="48">
        <v>1.2065999999999999</v>
      </c>
    </row>
    <row r="2025" spans="1:2" x14ac:dyDescent="0.15">
      <c r="A2025" s="47">
        <v>43711</v>
      </c>
      <c r="B2025" s="48">
        <v>1.2083999999999999</v>
      </c>
    </row>
    <row r="2026" spans="1:2" x14ac:dyDescent="0.15">
      <c r="A2026" s="47">
        <v>43712</v>
      </c>
      <c r="B2026" s="48">
        <v>1.2250000000000001</v>
      </c>
    </row>
    <row r="2027" spans="1:2" x14ac:dyDescent="0.15">
      <c r="A2027" s="47">
        <v>43713</v>
      </c>
      <c r="B2027" s="48">
        <v>1.2329000000000001</v>
      </c>
    </row>
    <row r="2028" spans="1:2" x14ac:dyDescent="0.15">
      <c r="A2028" s="47">
        <v>43714</v>
      </c>
      <c r="B2028" s="48">
        <v>1.2281</v>
      </c>
    </row>
    <row r="2029" spans="1:2" x14ac:dyDescent="0.15">
      <c r="A2029" s="47">
        <v>43717</v>
      </c>
      <c r="B2029" s="48">
        <v>1.2344999999999999</v>
      </c>
    </row>
    <row r="2030" spans="1:2" x14ac:dyDescent="0.15">
      <c r="A2030" s="47">
        <v>43718</v>
      </c>
      <c r="B2030" s="48">
        <v>1.2345999999999999</v>
      </c>
    </row>
    <row r="2031" spans="1:2" x14ac:dyDescent="0.15">
      <c r="A2031" s="47">
        <v>43719</v>
      </c>
      <c r="B2031" s="48">
        <v>1.2325999999999999</v>
      </c>
    </row>
    <row r="2032" spans="1:2" x14ac:dyDescent="0.15">
      <c r="A2032" s="47">
        <v>43720</v>
      </c>
      <c r="B2032" s="48">
        <v>1.2332000000000001</v>
      </c>
    </row>
    <row r="2033" spans="1:2" x14ac:dyDescent="0.15">
      <c r="A2033" s="47">
        <v>43721</v>
      </c>
      <c r="B2033" s="48">
        <v>1.25</v>
      </c>
    </row>
    <row r="2034" spans="1:2" x14ac:dyDescent="0.15">
      <c r="A2034" s="47">
        <v>43724</v>
      </c>
      <c r="B2034" s="48">
        <v>1.2427999999999999</v>
      </c>
    </row>
    <row r="2035" spans="1:2" x14ac:dyDescent="0.15">
      <c r="A2035" s="47">
        <v>43725</v>
      </c>
      <c r="B2035" s="48">
        <v>1.25</v>
      </c>
    </row>
    <row r="2036" spans="1:2" x14ac:dyDescent="0.15">
      <c r="A2036" s="47">
        <v>43726</v>
      </c>
      <c r="B2036" s="48">
        <v>1.2467999999999999</v>
      </c>
    </row>
    <row r="2037" spans="1:2" x14ac:dyDescent="0.15">
      <c r="A2037" s="47">
        <v>43727</v>
      </c>
      <c r="B2037" s="48">
        <v>1.2524</v>
      </c>
    </row>
    <row r="2038" spans="1:2" x14ac:dyDescent="0.15">
      <c r="A2038" s="47">
        <v>43728</v>
      </c>
      <c r="B2038" s="48">
        <v>1.2477</v>
      </c>
    </row>
    <row r="2039" spans="1:2" x14ac:dyDescent="0.15">
      <c r="A2039" s="47">
        <v>43731</v>
      </c>
      <c r="B2039" s="48">
        <v>1.2428999999999999</v>
      </c>
    </row>
    <row r="2040" spans="1:2" x14ac:dyDescent="0.15">
      <c r="A2040" s="47">
        <v>43732</v>
      </c>
      <c r="B2040" s="48">
        <v>1.2487999999999999</v>
      </c>
    </row>
    <row r="2041" spans="1:2" x14ac:dyDescent="0.15">
      <c r="A2041" s="47">
        <v>43733</v>
      </c>
      <c r="B2041" s="48">
        <v>1.2349000000000001</v>
      </c>
    </row>
    <row r="2042" spans="1:2" x14ac:dyDescent="0.15">
      <c r="A2042" s="47">
        <v>43734</v>
      </c>
      <c r="B2042" s="48">
        <v>1.2322</v>
      </c>
    </row>
    <row r="2043" spans="1:2" x14ac:dyDescent="0.15">
      <c r="A2043" s="47">
        <v>43735</v>
      </c>
      <c r="B2043" s="48">
        <v>1.2287999999999999</v>
      </c>
    </row>
    <row r="2044" spans="1:2" x14ac:dyDescent="0.15">
      <c r="A2044" s="47">
        <v>43738</v>
      </c>
      <c r="B2044" s="48">
        <v>1.2286999999999999</v>
      </c>
    </row>
    <row r="2045" spans="1:2" x14ac:dyDescent="0.15">
      <c r="A2045" s="47">
        <v>43739</v>
      </c>
      <c r="B2045" s="48">
        <v>1.2301</v>
      </c>
    </row>
    <row r="2046" spans="1:2" x14ac:dyDescent="0.15">
      <c r="A2046" s="47">
        <v>43740</v>
      </c>
      <c r="B2046" s="48">
        <v>1.23</v>
      </c>
    </row>
    <row r="2047" spans="1:2" x14ac:dyDescent="0.15">
      <c r="A2047" s="47">
        <v>43741</v>
      </c>
      <c r="B2047" s="48">
        <v>1.2327999999999999</v>
      </c>
    </row>
    <row r="2048" spans="1:2" x14ac:dyDescent="0.15">
      <c r="A2048" s="47">
        <v>43742</v>
      </c>
      <c r="B2048" s="48">
        <v>1.2332000000000001</v>
      </c>
    </row>
    <row r="2049" spans="1:2" x14ac:dyDescent="0.15">
      <c r="A2049" s="47">
        <v>43745</v>
      </c>
      <c r="B2049" s="48">
        <v>1.2290000000000001</v>
      </c>
    </row>
    <row r="2050" spans="1:2" x14ac:dyDescent="0.15">
      <c r="A2050" s="47">
        <v>43746</v>
      </c>
      <c r="B2050" s="48">
        <v>1.2217</v>
      </c>
    </row>
    <row r="2051" spans="1:2" x14ac:dyDescent="0.15">
      <c r="A2051" s="47">
        <v>43747</v>
      </c>
      <c r="B2051" s="48">
        <v>1.2203999999999999</v>
      </c>
    </row>
    <row r="2052" spans="1:2" x14ac:dyDescent="0.15">
      <c r="A2052" s="47">
        <v>43748</v>
      </c>
      <c r="B2052" s="48">
        <v>1.244</v>
      </c>
    </row>
    <row r="2053" spans="1:2" x14ac:dyDescent="0.15">
      <c r="A2053" s="47">
        <v>43749</v>
      </c>
      <c r="B2053" s="48">
        <v>1.2646999999999999</v>
      </c>
    </row>
    <row r="2054" spans="1:2" x14ac:dyDescent="0.15">
      <c r="A2054" s="47">
        <v>43752</v>
      </c>
      <c r="B2054" s="48">
        <v>1.2605999999999999</v>
      </c>
    </row>
    <row r="2055" spans="1:2" x14ac:dyDescent="0.15">
      <c r="A2055" s="47">
        <v>43753</v>
      </c>
      <c r="B2055" s="48">
        <v>1.2786</v>
      </c>
    </row>
    <row r="2056" spans="1:2" x14ac:dyDescent="0.15">
      <c r="A2056" s="47">
        <v>43754</v>
      </c>
      <c r="B2056" s="48">
        <v>1.2829999999999999</v>
      </c>
    </row>
    <row r="2057" spans="1:2" x14ac:dyDescent="0.15">
      <c r="A2057" s="47">
        <v>43755</v>
      </c>
      <c r="B2057" s="48">
        <v>1.2887999999999999</v>
      </c>
    </row>
    <row r="2058" spans="1:2" x14ac:dyDescent="0.15">
      <c r="A2058" s="47">
        <v>43756</v>
      </c>
      <c r="B2058" s="48">
        <v>1.2970999999999999</v>
      </c>
    </row>
    <row r="2059" spans="1:2" x14ac:dyDescent="0.15">
      <c r="A2059" s="47">
        <v>43759</v>
      </c>
      <c r="B2059" s="48">
        <v>1.2958000000000001</v>
      </c>
    </row>
    <row r="2060" spans="1:2" x14ac:dyDescent="0.15">
      <c r="A2060" s="47">
        <v>43760</v>
      </c>
      <c r="B2060" s="48">
        <v>1.2871999999999999</v>
      </c>
    </row>
    <row r="2061" spans="1:2" x14ac:dyDescent="0.15">
      <c r="A2061" s="47">
        <v>43761</v>
      </c>
      <c r="B2061" s="48">
        <v>1.2916000000000001</v>
      </c>
    </row>
    <row r="2062" spans="1:2" x14ac:dyDescent="0.15">
      <c r="A2062" s="47">
        <v>43762</v>
      </c>
      <c r="B2062" s="48">
        <v>1.2849999999999999</v>
      </c>
    </row>
    <row r="2063" spans="1:2" x14ac:dyDescent="0.15">
      <c r="A2063" s="47">
        <v>43763</v>
      </c>
      <c r="B2063" s="48">
        <v>1.2821</v>
      </c>
    </row>
    <row r="2064" spans="1:2" x14ac:dyDescent="0.15">
      <c r="A2064" s="47">
        <v>43766</v>
      </c>
      <c r="B2064" s="48">
        <v>1.2862</v>
      </c>
    </row>
    <row r="2065" spans="1:2" x14ac:dyDescent="0.15">
      <c r="A2065" s="47">
        <v>43767</v>
      </c>
      <c r="B2065" s="48">
        <v>1.2865</v>
      </c>
    </row>
    <row r="2066" spans="1:2" x14ac:dyDescent="0.15">
      <c r="A2066" s="47">
        <v>43768</v>
      </c>
      <c r="B2066" s="48">
        <v>1.2901</v>
      </c>
    </row>
    <row r="2067" spans="1:2" x14ac:dyDescent="0.15">
      <c r="A2067" s="47">
        <v>43769</v>
      </c>
      <c r="B2067" s="48">
        <v>1.294</v>
      </c>
    </row>
    <row r="2068" spans="1:2" x14ac:dyDescent="0.15">
      <c r="A2068" s="47">
        <v>43770</v>
      </c>
      <c r="B2068" s="48">
        <v>1.2934000000000001</v>
      </c>
    </row>
    <row r="2069" spans="1:2" x14ac:dyDescent="0.15">
      <c r="A2069" s="47">
        <v>43773</v>
      </c>
      <c r="B2069" s="48">
        <v>1.2882</v>
      </c>
    </row>
    <row r="2070" spans="1:2" x14ac:dyDescent="0.15">
      <c r="A2070" s="47">
        <v>43774</v>
      </c>
      <c r="B2070" s="48">
        <v>1.2882</v>
      </c>
    </row>
    <row r="2071" spans="1:2" x14ac:dyDescent="0.15">
      <c r="A2071" s="47">
        <v>43775</v>
      </c>
      <c r="B2071" s="48">
        <v>1.2849999999999999</v>
      </c>
    </row>
    <row r="2072" spans="1:2" x14ac:dyDescent="0.15">
      <c r="A2072" s="47">
        <v>43776</v>
      </c>
      <c r="B2072" s="48">
        <v>1.2813000000000001</v>
      </c>
    </row>
    <row r="2073" spans="1:2" x14ac:dyDescent="0.15">
      <c r="A2073" s="47">
        <v>43777</v>
      </c>
      <c r="B2073" s="48">
        <v>1.2769999999999999</v>
      </c>
    </row>
    <row r="2074" spans="1:2" x14ac:dyDescent="0.15">
      <c r="A2074" s="47">
        <v>43780</v>
      </c>
      <c r="B2074" s="48">
        <v>1.2850999999999999</v>
      </c>
    </row>
    <row r="2075" spans="1:2" x14ac:dyDescent="0.15">
      <c r="A2075" s="47">
        <v>43781</v>
      </c>
      <c r="B2075" s="48">
        <v>1.2844</v>
      </c>
    </row>
    <row r="2076" spans="1:2" x14ac:dyDescent="0.15">
      <c r="A2076" s="47">
        <v>43782</v>
      </c>
      <c r="B2076" s="48">
        <v>1.2848999999999999</v>
      </c>
    </row>
    <row r="2077" spans="1:2" x14ac:dyDescent="0.15">
      <c r="A2077" s="47">
        <v>43783</v>
      </c>
      <c r="B2077" s="48">
        <v>1.2881</v>
      </c>
    </row>
    <row r="2078" spans="1:2" x14ac:dyDescent="0.15">
      <c r="A2078" s="47">
        <v>43784</v>
      </c>
      <c r="B2078" s="48">
        <v>1.2899</v>
      </c>
    </row>
    <row r="2079" spans="1:2" x14ac:dyDescent="0.15">
      <c r="A2079" s="47">
        <v>43787</v>
      </c>
      <c r="B2079" s="48">
        <v>1.2951999999999999</v>
      </c>
    </row>
    <row r="2080" spans="1:2" x14ac:dyDescent="0.15">
      <c r="A2080" s="47">
        <v>43788</v>
      </c>
      <c r="B2080" s="48">
        <v>1.2922</v>
      </c>
    </row>
    <row r="2081" spans="1:2" x14ac:dyDescent="0.15">
      <c r="A2081" s="47">
        <v>43789</v>
      </c>
      <c r="B2081" s="48">
        <v>1.2922</v>
      </c>
    </row>
    <row r="2082" spans="1:2" x14ac:dyDescent="0.15">
      <c r="A2082" s="47">
        <v>43790</v>
      </c>
      <c r="B2082" s="48">
        <v>1.2912999999999999</v>
      </c>
    </row>
    <row r="2083" spans="1:2" x14ac:dyDescent="0.15">
      <c r="A2083" s="47">
        <v>43791</v>
      </c>
      <c r="B2083" s="48">
        <v>1.2829999999999999</v>
      </c>
    </row>
    <row r="2084" spans="1:2" x14ac:dyDescent="0.15">
      <c r="A2084" s="47">
        <v>43794</v>
      </c>
      <c r="B2084" s="48">
        <v>1.2898000000000001</v>
      </c>
    </row>
    <row r="2085" spans="1:2" x14ac:dyDescent="0.15">
      <c r="A2085" s="47">
        <v>43795</v>
      </c>
      <c r="B2085" s="48">
        <v>1.2865</v>
      </c>
    </row>
    <row r="2086" spans="1:2" x14ac:dyDescent="0.15">
      <c r="A2086" s="47">
        <v>43796</v>
      </c>
      <c r="B2086" s="48">
        <v>1.2921</v>
      </c>
    </row>
    <row r="2087" spans="1:2" x14ac:dyDescent="0.15">
      <c r="A2087" s="47">
        <v>43797</v>
      </c>
      <c r="B2087" s="48">
        <v>1.2910999999999999</v>
      </c>
    </row>
    <row r="2088" spans="1:2" x14ac:dyDescent="0.15">
      <c r="A2088" s="47">
        <v>43798</v>
      </c>
      <c r="B2088" s="48">
        <v>1.2932999999999999</v>
      </c>
    </row>
    <row r="2089" spans="1:2" x14ac:dyDescent="0.15">
      <c r="A2089" s="47">
        <v>43801</v>
      </c>
      <c r="B2089" s="48">
        <v>1.2936000000000001</v>
      </c>
    </row>
    <row r="2090" spans="1:2" x14ac:dyDescent="0.15">
      <c r="A2090" s="47">
        <v>43802</v>
      </c>
      <c r="B2090" s="48">
        <v>1.2991999999999999</v>
      </c>
    </row>
    <row r="2091" spans="1:2" x14ac:dyDescent="0.15">
      <c r="A2091" s="47">
        <v>43803</v>
      </c>
      <c r="B2091" s="48">
        <v>1.3103</v>
      </c>
    </row>
    <row r="2092" spans="1:2" x14ac:dyDescent="0.15">
      <c r="A2092" s="47">
        <v>43804</v>
      </c>
      <c r="B2092" s="48">
        <v>1.3154999999999999</v>
      </c>
    </row>
    <row r="2093" spans="1:2" x14ac:dyDescent="0.15">
      <c r="A2093" s="47">
        <v>43805</v>
      </c>
      <c r="B2093" s="48">
        <v>1.3134999999999999</v>
      </c>
    </row>
    <row r="2094" spans="1:2" x14ac:dyDescent="0.15">
      <c r="A2094" s="47">
        <v>43808</v>
      </c>
      <c r="B2094" s="48">
        <v>1.3143</v>
      </c>
    </row>
    <row r="2095" spans="1:2" x14ac:dyDescent="0.15">
      <c r="A2095" s="47">
        <v>43809</v>
      </c>
      <c r="B2095" s="48">
        <v>1.3153999999999999</v>
      </c>
    </row>
    <row r="2096" spans="1:2" x14ac:dyDescent="0.15">
      <c r="A2096" s="47">
        <v>43810</v>
      </c>
      <c r="B2096" s="48">
        <v>1.3192999999999999</v>
      </c>
    </row>
    <row r="2097" spans="1:2" x14ac:dyDescent="0.15">
      <c r="A2097" s="47">
        <v>43811</v>
      </c>
      <c r="B2097" s="48">
        <v>1.3162</v>
      </c>
    </row>
    <row r="2098" spans="1:2" x14ac:dyDescent="0.15">
      <c r="A2098" s="47">
        <v>43812</v>
      </c>
      <c r="B2098" s="48">
        <v>1.3325</v>
      </c>
    </row>
    <row r="2099" spans="1:2" x14ac:dyDescent="0.15">
      <c r="A2099" s="47">
        <v>43815</v>
      </c>
      <c r="B2099" s="48">
        <v>1.3329</v>
      </c>
    </row>
    <row r="2100" spans="1:2" x14ac:dyDescent="0.15">
      <c r="A2100" s="47">
        <v>43816</v>
      </c>
      <c r="B2100" s="48">
        <v>1.3128</v>
      </c>
    </row>
    <row r="2101" spans="1:2" x14ac:dyDescent="0.15">
      <c r="A2101" s="47">
        <v>43817</v>
      </c>
      <c r="B2101" s="48">
        <v>1.3076000000000001</v>
      </c>
    </row>
    <row r="2102" spans="1:2" x14ac:dyDescent="0.15">
      <c r="A2102" s="47">
        <v>43818</v>
      </c>
      <c r="B2102" s="48">
        <v>1.3007</v>
      </c>
    </row>
    <row r="2103" spans="1:2" x14ac:dyDescent="0.15">
      <c r="A2103" s="47">
        <v>43819</v>
      </c>
      <c r="B2103" s="48">
        <v>1.3002</v>
      </c>
    </row>
    <row r="2104" spans="1:2" x14ac:dyDescent="0.15">
      <c r="A2104" s="47">
        <v>43822</v>
      </c>
      <c r="B2104" s="48">
        <v>1.2932999999999999</v>
      </c>
    </row>
    <row r="2105" spans="1:2" x14ac:dyDescent="0.15">
      <c r="A2105" s="47">
        <v>43823</v>
      </c>
      <c r="B2105" s="48">
        <v>1.2944</v>
      </c>
    </row>
    <row r="2106" spans="1:2" x14ac:dyDescent="0.15">
      <c r="A2106" s="47">
        <v>43824</v>
      </c>
      <c r="B2106" s="48">
        <v>1.296</v>
      </c>
    </row>
    <row r="2107" spans="1:2" x14ac:dyDescent="0.15">
      <c r="A2107" s="47">
        <v>43825</v>
      </c>
      <c r="B2107" s="48">
        <v>1.2991999999999999</v>
      </c>
    </row>
    <row r="2108" spans="1:2" x14ac:dyDescent="0.15">
      <c r="A2108" s="47">
        <v>43826</v>
      </c>
      <c r="B2108" s="48">
        <v>1.3076000000000001</v>
      </c>
    </row>
    <row r="2109" spans="1:2" x14ac:dyDescent="0.15">
      <c r="A2109" s="47">
        <v>43829</v>
      </c>
      <c r="B2109" s="48">
        <v>1.3112999999999999</v>
      </c>
    </row>
    <row r="2110" spans="1:2" x14ac:dyDescent="0.15">
      <c r="A2110" s="47">
        <v>43830</v>
      </c>
      <c r="B2110" s="48">
        <v>1.3259000000000001</v>
      </c>
    </row>
    <row r="2111" spans="1:2" x14ac:dyDescent="0.15">
      <c r="A2111" s="47">
        <v>43831</v>
      </c>
      <c r="B2111" s="48">
        <v>1.3253999999999999</v>
      </c>
    </row>
    <row r="2112" spans="1:2" x14ac:dyDescent="0.15">
      <c r="A2112" s="47">
        <v>43832</v>
      </c>
      <c r="B2112" s="48">
        <v>1.3144</v>
      </c>
    </row>
    <row r="2113" spans="1:2" x14ac:dyDescent="0.15">
      <c r="A2113" s="47">
        <v>43833</v>
      </c>
      <c r="B2113" s="48">
        <v>1.3086</v>
      </c>
    </row>
    <row r="2114" spans="1:2" x14ac:dyDescent="0.15">
      <c r="A2114" s="47">
        <v>43836</v>
      </c>
      <c r="B2114" s="48">
        <v>1.3167</v>
      </c>
    </row>
    <row r="2115" spans="1:2" x14ac:dyDescent="0.15">
      <c r="A2115" s="47">
        <v>43837</v>
      </c>
      <c r="B2115" s="48">
        <v>1.3123</v>
      </c>
    </row>
    <row r="2116" spans="1:2" x14ac:dyDescent="0.15">
      <c r="A2116" s="47">
        <v>43838</v>
      </c>
      <c r="B2116" s="48">
        <v>1.3097000000000001</v>
      </c>
    </row>
    <row r="2117" spans="1:2" x14ac:dyDescent="0.15">
      <c r="A2117" s="47">
        <v>43839</v>
      </c>
      <c r="B2117" s="48">
        <v>1.3065</v>
      </c>
    </row>
    <row r="2118" spans="1:2" x14ac:dyDescent="0.15">
      <c r="A2118" s="47">
        <v>43840</v>
      </c>
      <c r="B2118" s="48">
        <v>1.3059000000000001</v>
      </c>
    </row>
    <row r="2119" spans="1:2" x14ac:dyDescent="0.15">
      <c r="A2119" s="47">
        <v>43843</v>
      </c>
      <c r="B2119" s="48">
        <v>1.2988</v>
      </c>
    </row>
    <row r="2120" spans="1:2" x14ac:dyDescent="0.15">
      <c r="A2120" s="47">
        <v>43844</v>
      </c>
      <c r="B2120" s="48">
        <v>1.3017000000000001</v>
      </c>
    </row>
    <row r="2121" spans="1:2" x14ac:dyDescent="0.15">
      <c r="A2121" s="47">
        <v>43845</v>
      </c>
      <c r="B2121" s="48">
        <v>1.3036000000000001</v>
      </c>
    </row>
    <row r="2122" spans="1:2" x14ac:dyDescent="0.15">
      <c r="A2122" s="47">
        <v>43846</v>
      </c>
      <c r="B2122" s="48">
        <v>1.3076000000000001</v>
      </c>
    </row>
    <row r="2123" spans="1:2" x14ac:dyDescent="0.15">
      <c r="A2123" s="47">
        <v>43847</v>
      </c>
      <c r="B2123" s="48">
        <v>1.3008</v>
      </c>
    </row>
    <row r="2124" spans="1:2" x14ac:dyDescent="0.15">
      <c r="A2124" s="47">
        <v>43850</v>
      </c>
      <c r="B2124" s="48">
        <v>1.3008999999999999</v>
      </c>
    </row>
    <row r="2125" spans="1:2" x14ac:dyDescent="0.15">
      <c r="A2125" s="47">
        <v>43851</v>
      </c>
      <c r="B2125" s="48">
        <v>1.3047</v>
      </c>
    </row>
    <row r="2126" spans="1:2" x14ac:dyDescent="0.15">
      <c r="A2126" s="47">
        <v>43852</v>
      </c>
      <c r="B2126" s="48">
        <v>1.3140000000000001</v>
      </c>
    </row>
    <row r="2127" spans="1:2" x14ac:dyDescent="0.15">
      <c r="A2127" s="47">
        <v>43853</v>
      </c>
      <c r="B2127" s="48">
        <v>1.3121</v>
      </c>
    </row>
    <row r="2128" spans="1:2" x14ac:dyDescent="0.15">
      <c r="A2128" s="47">
        <v>43854</v>
      </c>
      <c r="B2128" s="48">
        <v>1.3076000000000001</v>
      </c>
    </row>
    <row r="2129" spans="1:2" x14ac:dyDescent="0.15">
      <c r="A2129" s="47">
        <v>43857</v>
      </c>
      <c r="B2129" s="48">
        <v>1.3052999999999999</v>
      </c>
    </row>
    <row r="2130" spans="1:2" x14ac:dyDescent="0.15">
      <c r="A2130" s="47">
        <v>43858</v>
      </c>
      <c r="B2130" s="48">
        <v>1.3027</v>
      </c>
    </row>
    <row r="2131" spans="1:2" x14ac:dyDescent="0.15">
      <c r="A2131" s="47">
        <v>43859</v>
      </c>
      <c r="B2131" s="48">
        <v>1.302</v>
      </c>
    </row>
    <row r="2132" spans="1:2" x14ac:dyDescent="0.15">
      <c r="A2132" s="47">
        <v>43860</v>
      </c>
      <c r="B2132" s="48">
        <v>1.3093999999999999</v>
      </c>
    </row>
    <row r="2133" spans="1:2" x14ac:dyDescent="0.15">
      <c r="A2133" s="47">
        <v>43861</v>
      </c>
      <c r="B2133" s="48">
        <v>1.3199000000000001</v>
      </c>
    </row>
    <row r="2134" spans="1:2" x14ac:dyDescent="0.15">
      <c r="A2134" s="47">
        <v>43864</v>
      </c>
      <c r="B2134" s="48">
        <v>1.2992999999999999</v>
      </c>
    </row>
    <row r="2135" spans="1:2" x14ac:dyDescent="0.15">
      <c r="A2135" s="47">
        <v>43865</v>
      </c>
      <c r="B2135" s="48">
        <v>1.3028999999999999</v>
      </c>
    </row>
    <row r="2136" spans="1:2" x14ac:dyDescent="0.15">
      <c r="A2136" s="47">
        <v>43866</v>
      </c>
      <c r="B2136" s="48">
        <v>1.3</v>
      </c>
    </row>
    <row r="2137" spans="1:2" x14ac:dyDescent="0.15">
      <c r="A2137" s="47">
        <v>43867</v>
      </c>
      <c r="B2137" s="48">
        <v>1.2927999999999999</v>
      </c>
    </row>
    <row r="2138" spans="1:2" x14ac:dyDescent="0.15">
      <c r="A2138" s="47">
        <v>43868</v>
      </c>
      <c r="B2138" s="48">
        <v>1.2890999999999999</v>
      </c>
    </row>
    <row r="2139" spans="1:2" x14ac:dyDescent="0.15">
      <c r="A2139" s="47">
        <v>43871</v>
      </c>
      <c r="B2139" s="48">
        <v>1.2912999999999999</v>
      </c>
    </row>
    <row r="2140" spans="1:2" x14ac:dyDescent="0.15">
      <c r="A2140" s="47">
        <v>43872</v>
      </c>
      <c r="B2140" s="48">
        <v>1.2950999999999999</v>
      </c>
    </row>
    <row r="2141" spans="1:2" x14ac:dyDescent="0.15">
      <c r="A2141" s="47">
        <v>43873</v>
      </c>
      <c r="B2141" s="48">
        <v>1.296</v>
      </c>
    </row>
    <row r="2142" spans="1:2" x14ac:dyDescent="0.15">
      <c r="A2142" s="47">
        <v>43874</v>
      </c>
      <c r="B2142" s="48">
        <v>1.3045</v>
      </c>
    </row>
    <row r="2143" spans="1:2" x14ac:dyDescent="0.15">
      <c r="A2143" s="47">
        <v>43875</v>
      </c>
      <c r="B2143" s="48">
        <v>1.3046</v>
      </c>
    </row>
    <row r="2144" spans="1:2" x14ac:dyDescent="0.15">
      <c r="A2144" s="47">
        <v>43878</v>
      </c>
      <c r="B2144" s="48">
        <v>1.3006</v>
      </c>
    </row>
    <row r="2145" spans="1:2" x14ac:dyDescent="0.15">
      <c r="A2145" s="47">
        <v>43879</v>
      </c>
      <c r="B2145" s="48">
        <v>1.2998000000000001</v>
      </c>
    </row>
    <row r="2146" spans="1:2" x14ac:dyDescent="0.15">
      <c r="A2146" s="47">
        <v>43880</v>
      </c>
      <c r="B2146" s="48">
        <v>1.2919</v>
      </c>
    </row>
    <row r="2147" spans="1:2" x14ac:dyDescent="0.15">
      <c r="A2147" s="47">
        <v>43881</v>
      </c>
      <c r="B2147" s="48">
        <v>1.2879</v>
      </c>
    </row>
    <row r="2148" spans="1:2" x14ac:dyDescent="0.15">
      <c r="A2148" s="47">
        <v>43882</v>
      </c>
      <c r="B2148" s="48">
        <v>1.2968999999999999</v>
      </c>
    </row>
    <row r="2149" spans="1:2" x14ac:dyDescent="0.15">
      <c r="A2149" s="47">
        <v>43885</v>
      </c>
      <c r="B2149" s="48">
        <v>1.2927</v>
      </c>
    </row>
    <row r="2150" spans="1:2" x14ac:dyDescent="0.15">
      <c r="A2150" s="47">
        <v>43886</v>
      </c>
      <c r="B2150" s="48">
        <v>1.3004</v>
      </c>
    </row>
    <row r="2151" spans="1:2" x14ac:dyDescent="0.15">
      <c r="A2151" s="47">
        <v>43887</v>
      </c>
      <c r="B2151" s="48">
        <v>1.2903</v>
      </c>
    </row>
    <row r="2152" spans="1:2" x14ac:dyDescent="0.15">
      <c r="A2152" s="47">
        <v>43888</v>
      </c>
      <c r="B2152" s="48">
        <v>1.2884</v>
      </c>
    </row>
    <row r="2153" spans="1:2" x14ac:dyDescent="0.15">
      <c r="A2153" s="47">
        <v>43889</v>
      </c>
      <c r="B2153" s="48">
        <v>1.282</v>
      </c>
    </row>
    <row r="2154" spans="1:2" x14ac:dyDescent="0.15">
      <c r="A2154" s="47">
        <v>43892</v>
      </c>
      <c r="B2154" s="48">
        <v>1.2749999999999999</v>
      </c>
    </row>
    <row r="2155" spans="1:2" x14ac:dyDescent="0.15">
      <c r="A2155" s="47">
        <v>43893</v>
      </c>
      <c r="B2155" s="48">
        <v>1.2809999999999999</v>
      </c>
    </row>
    <row r="2156" spans="1:2" x14ac:dyDescent="0.15">
      <c r="A2156" s="47">
        <v>43894</v>
      </c>
      <c r="B2156" s="48">
        <v>1.2869999999999999</v>
      </c>
    </row>
    <row r="2157" spans="1:2" x14ac:dyDescent="0.15">
      <c r="A2157" s="47">
        <v>43895</v>
      </c>
      <c r="B2157" s="48">
        <v>1.2954000000000001</v>
      </c>
    </row>
    <row r="2158" spans="1:2" x14ac:dyDescent="0.15">
      <c r="A2158" s="47">
        <v>43896</v>
      </c>
      <c r="B2158" s="48">
        <v>1.3047</v>
      </c>
    </row>
    <row r="2159" spans="1:2" x14ac:dyDescent="0.15">
      <c r="A2159" s="47">
        <v>43899</v>
      </c>
      <c r="B2159" s="48">
        <v>1.3130999999999999</v>
      </c>
    </row>
    <row r="2160" spans="1:2" x14ac:dyDescent="0.15">
      <c r="A2160" s="47">
        <v>43900</v>
      </c>
      <c r="B2160" s="48">
        <v>1.2906</v>
      </c>
    </row>
    <row r="2161" spans="1:2" x14ac:dyDescent="0.15">
      <c r="A2161" s="47">
        <v>43901</v>
      </c>
      <c r="B2161" s="48">
        <v>1.282</v>
      </c>
    </row>
    <row r="2162" spans="1:2" x14ac:dyDescent="0.15">
      <c r="A2162" s="47">
        <v>43902</v>
      </c>
      <c r="B2162" s="48">
        <v>1.2571000000000001</v>
      </c>
    </row>
    <row r="2163" spans="1:2" x14ac:dyDescent="0.15">
      <c r="A2163" s="47">
        <v>43903</v>
      </c>
      <c r="B2163" s="48">
        <v>1.2276</v>
      </c>
    </row>
    <row r="2164" spans="1:2" x14ac:dyDescent="0.15">
      <c r="A2164" s="47">
        <v>43906</v>
      </c>
      <c r="B2164" s="48">
        <v>1.2265999999999999</v>
      </c>
    </row>
    <row r="2165" spans="1:2" x14ac:dyDescent="0.15">
      <c r="A2165" s="47">
        <v>43907</v>
      </c>
      <c r="B2165" s="48">
        <v>1.2050000000000001</v>
      </c>
    </row>
    <row r="2166" spans="1:2" x14ac:dyDescent="0.15">
      <c r="A2166" s="47">
        <v>43908</v>
      </c>
      <c r="B2166" s="48">
        <v>1.1613</v>
      </c>
    </row>
    <row r="2167" spans="1:2" x14ac:dyDescent="0.15">
      <c r="A2167" s="47">
        <v>43909</v>
      </c>
      <c r="B2167" s="48">
        <v>1.1485000000000001</v>
      </c>
    </row>
    <row r="2168" spans="1:2" x14ac:dyDescent="0.15">
      <c r="A2168" s="47">
        <v>43910</v>
      </c>
      <c r="B2168" s="48">
        <v>1.1640999999999999</v>
      </c>
    </row>
    <row r="2169" spans="1:2" x14ac:dyDescent="0.15">
      <c r="A2169" s="47">
        <v>43913</v>
      </c>
      <c r="B2169" s="48">
        <v>1.1548</v>
      </c>
    </row>
    <row r="2170" spans="1:2" x14ac:dyDescent="0.15">
      <c r="A2170" s="47">
        <v>43914</v>
      </c>
      <c r="B2170" s="48">
        <v>1.1757</v>
      </c>
    </row>
    <row r="2171" spans="1:2" x14ac:dyDescent="0.15">
      <c r="A2171" s="47">
        <v>43915</v>
      </c>
      <c r="B2171" s="48">
        <v>1.1884999999999999</v>
      </c>
    </row>
    <row r="2172" spans="1:2" x14ac:dyDescent="0.15">
      <c r="A2172" s="47">
        <v>43916</v>
      </c>
      <c r="B2172" s="48">
        <v>1.2201</v>
      </c>
    </row>
    <row r="2173" spans="1:2" x14ac:dyDescent="0.15">
      <c r="A2173" s="47">
        <v>43917</v>
      </c>
      <c r="B2173" s="48">
        <v>1.2456</v>
      </c>
    </row>
    <row r="2174" spans="1:2" x14ac:dyDescent="0.15">
      <c r="A2174" s="47">
        <v>43920</v>
      </c>
      <c r="B2174" s="48">
        <v>1.2416</v>
      </c>
    </row>
    <row r="2175" spans="1:2" x14ac:dyDescent="0.15">
      <c r="A2175" s="47">
        <v>43921</v>
      </c>
      <c r="B2175" s="48">
        <v>1.2418</v>
      </c>
    </row>
    <row r="2176" spans="1:2" x14ac:dyDescent="0.15">
      <c r="A2176" s="47">
        <v>43922</v>
      </c>
      <c r="B2176" s="48">
        <v>1.2376</v>
      </c>
    </row>
    <row r="2177" spans="1:2" x14ac:dyDescent="0.15">
      <c r="A2177" s="47">
        <v>43923</v>
      </c>
      <c r="B2177" s="48">
        <v>1.2392000000000001</v>
      </c>
    </row>
    <row r="2178" spans="1:2" x14ac:dyDescent="0.15">
      <c r="A2178" s="47">
        <v>43924</v>
      </c>
      <c r="B2178" s="48">
        <v>1.226</v>
      </c>
    </row>
    <row r="2179" spans="1:2" x14ac:dyDescent="0.15">
      <c r="A2179" s="47">
        <v>43927</v>
      </c>
      <c r="B2179" s="48">
        <v>1.2229000000000001</v>
      </c>
    </row>
    <row r="2180" spans="1:2" x14ac:dyDescent="0.15">
      <c r="A2180" s="47">
        <v>43928</v>
      </c>
      <c r="B2180" s="48">
        <v>1.2337</v>
      </c>
    </row>
    <row r="2181" spans="1:2" x14ac:dyDescent="0.15">
      <c r="A2181" s="47">
        <v>43929</v>
      </c>
      <c r="B2181" s="48">
        <v>1.2384999999999999</v>
      </c>
    </row>
    <row r="2182" spans="1:2" x14ac:dyDescent="0.15">
      <c r="A2182" s="47">
        <v>43930</v>
      </c>
      <c r="B2182" s="48">
        <v>1.2455000000000001</v>
      </c>
    </row>
    <row r="2183" spans="1:2" x14ac:dyDescent="0.15">
      <c r="A2183" s="47">
        <v>43931</v>
      </c>
      <c r="B2183" s="48">
        <v>1.2452000000000001</v>
      </c>
    </row>
    <row r="2184" spans="1:2" x14ac:dyDescent="0.15">
      <c r="A2184" s="47">
        <v>43934</v>
      </c>
      <c r="B2184" s="48">
        <v>1.2506999999999999</v>
      </c>
    </row>
    <row r="2185" spans="1:2" x14ac:dyDescent="0.15">
      <c r="A2185" s="47">
        <v>43935</v>
      </c>
      <c r="B2185" s="48">
        <v>1.2623</v>
      </c>
    </row>
    <row r="2186" spans="1:2" x14ac:dyDescent="0.15">
      <c r="A2186" s="47">
        <v>43936</v>
      </c>
      <c r="B2186" s="48">
        <v>1.2514000000000001</v>
      </c>
    </row>
    <row r="2187" spans="1:2" x14ac:dyDescent="0.15">
      <c r="A2187" s="47">
        <v>43937</v>
      </c>
      <c r="B2187" s="48">
        <v>1.2455000000000001</v>
      </c>
    </row>
    <row r="2188" spans="1:2" x14ac:dyDescent="0.15">
      <c r="A2188" s="47">
        <v>43938</v>
      </c>
      <c r="B2188" s="48">
        <v>1.2499</v>
      </c>
    </row>
    <row r="2189" spans="1:2" x14ac:dyDescent="0.15">
      <c r="A2189" s="47">
        <v>43941</v>
      </c>
      <c r="B2189" s="48">
        <v>1.2435</v>
      </c>
    </row>
    <row r="2190" spans="1:2" x14ac:dyDescent="0.15">
      <c r="A2190" s="47">
        <v>43942</v>
      </c>
      <c r="B2190" s="48">
        <v>1.2293000000000001</v>
      </c>
    </row>
    <row r="2191" spans="1:2" x14ac:dyDescent="0.15">
      <c r="A2191" s="47">
        <v>43943</v>
      </c>
      <c r="B2191" s="48">
        <v>1.2332000000000001</v>
      </c>
    </row>
    <row r="2192" spans="1:2" x14ac:dyDescent="0.15">
      <c r="A2192" s="47">
        <v>43944</v>
      </c>
      <c r="B2192" s="48">
        <v>1.2342</v>
      </c>
    </row>
    <row r="2193" spans="1:2" x14ac:dyDescent="0.15">
      <c r="A2193" s="47">
        <v>43945</v>
      </c>
      <c r="B2193" s="48">
        <v>1.2366999999999999</v>
      </c>
    </row>
    <row r="2194" spans="1:2" x14ac:dyDescent="0.15">
      <c r="A2194" s="47">
        <v>43948</v>
      </c>
      <c r="B2194" s="48">
        <v>1.2427999999999999</v>
      </c>
    </row>
    <row r="2195" spans="1:2" x14ac:dyDescent="0.15">
      <c r="A2195" s="47">
        <v>43949</v>
      </c>
      <c r="B2195" s="48">
        <v>1.2421</v>
      </c>
    </row>
    <row r="2196" spans="1:2" x14ac:dyDescent="0.15">
      <c r="A2196" s="47">
        <v>43950</v>
      </c>
      <c r="B2196" s="48">
        <v>1.2464</v>
      </c>
    </row>
    <row r="2197" spans="1:2" x14ac:dyDescent="0.15">
      <c r="A2197" s="47">
        <v>43951</v>
      </c>
      <c r="B2197" s="48">
        <v>1.2592000000000001</v>
      </c>
    </row>
    <row r="2198" spans="1:2" x14ac:dyDescent="0.15">
      <c r="A2198" s="47">
        <v>43952</v>
      </c>
      <c r="B2198" s="48">
        <v>1.2502</v>
      </c>
    </row>
    <row r="2199" spans="1:2" x14ac:dyDescent="0.15">
      <c r="A2199" s="47">
        <v>43955</v>
      </c>
      <c r="B2199" s="48">
        <v>1.2442</v>
      </c>
    </row>
    <row r="2200" spans="1:2" x14ac:dyDescent="0.15">
      <c r="A2200" s="47">
        <v>43956</v>
      </c>
      <c r="B2200" s="48">
        <v>1.2434000000000001</v>
      </c>
    </row>
    <row r="2201" spans="1:2" x14ac:dyDescent="0.15">
      <c r="A2201" s="47">
        <v>43957</v>
      </c>
      <c r="B2201" s="48">
        <v>1.2341</v>
      </c>
    </row>
    <row r="2202" spans="1:2" x14ac:dyDescent="0.15">
      <c r="A2202" s="47">
        <v>43958</v>
      </c>
      <c r="B2202" s="48">
        <v>1.2361</v>
      </c>
    </row>
    <row r="2203" spans="1:2" x14ac:dyDescent="0.15">
      <c r="A2203" s="47">
        <v>43959</v>
      </c>
      <c r="B2203" s="48">
        <v>1.2406999999999999</v>
      </c>
    </row>
    <row r="2204" spans="1:2" x14ac:dyDescent="0.15">
      <c r="A2204" s="47">
        <v>43962</v>
      </c>
      <c r="B2204" s="48">
        <v>1.2335</v>
      </c>
    </row>
    <row r="2205" spans="1:2" x14ac:dyDescent="0.15">
      <c r="A2205" s="47">
        <v>43963</v>
      </c>
      <c r="B2205" s="48">
        <v>1.2259</v>
      </c>
    </row>
    <row r="2206" spans="1:2" x14ac:dyDescent="0.15">
      <c r="A2206" s="47">
        <v>43964</v>
      </c>
      <c r="B2206" s="48">
        <v>1.2229000000000001</v>
      </c>
    </row>
    <row r="2207" spans="1:2" x14ac:dyDescent="0.15">
      <c r="A2207" s="47">
        <v>43965</v>
      </c>
      <c r="B2207" s="48">
        <v>1.2225999999999999</v>
      </c>
    </row>
    <row r="2208" spans="1:2" x14ac:dyDescent="0.15">
      <c r="A2208" s="47">
        <v>43966</v>
      </c>
      <c r="B2208" s="48">
        <v>1.2103999999999999</v>
      </c>
    </row>
    <row r="2209" spans="1:2" x14ac:dyDescent="0.15">
      <c r="A2209" s="47">
        <v>43969</v>
      </c>
      <c r="B2209" s="48">
        <v>1.2189000000000001</v>
      </c>
    </row>
    <row r="2210" spans="1:2" x14ac:dyDescent="0.15">
      <c r="A2210" s="47">
        <v>43970</v>
      </c>
      <c r="B2210" s="48">
        <v>1.2251000000000001</v>
      </c>
    </row>
    <row r="2211" spans="1:2" x14ac:dyDescent="0.15">
      <c r="A2211" s="47">
        <v>43971</v>
      </c>
      <c r="B2211" s="48">
        <v>1.2239</v>
      </c>
    </row>
    <row r="2212" spans="1:2" x14ac:dyDescent="0.15">
      <c r="A2212" s="47">
        <v>43972</v>
      </c>
      <c r="B2212" s="48">
        <v>1.2222</v>
      </c>
    </row>
    <row r="2213" spans="1:2" x14ac:dyDescent="0.15">
      <c r="A2213" s="47">
        <v>43973</v>
      </c>
      <c r="B2213" s="48">
        <v>1.2163999999999999</v>
      </c>
    </row>
    <row r="2214" spans="1:2" x14ac:dyDescent="0.15">
      <c r="A2214" s="47">
        <v>43976</v>
      </c>
      <c r="B2214" s="48">
        <v>1.2181999999999999</v>
      </c>
    </row>
    <row r="2215" spans="1:2" x14ac:dyDescent="0.15">
      <c r="A2215" s="47">
        <v>43977</v>
      </c>
      <c r="B2215" s="48">
        <v>1.2331000000000001</v>
      </c>
    </row>
    <row r="2216" spans="1:2" x14ac:dyDescent="0.15">
      <c r="A2216" s="47">
        <v>43978</v>
      </c>
      <c r="B2216" s="48">
        <v>1.2250000000000001</v>
      </c>
    </row>
    <row r="2217" spans="1:2" x14ac:dyDescent="0.15">
      <c r="A2217" s="47">
        <v>43979</v>
      </c>
      <c r="B2217" s="48">
        <v>1.2316</v>
      </c>
    </row>
    <row r="2218" spans="1:2" x14ac:dyDescent="0.15">
      <c r="A2218" s="47">
        <v>43980</v>
      </c>
      <c r="B2218" s="48">
        <v>1.2343999999999999</v>
      </c>
    </row>
    <row r="2219" spans="1:2" x14ac:dyDescent="0.15">
      <c r="A2219" s="47">
        <v>43983</v>
      </c>
      <c r="B2219" s="48">
        <v>1.2492000000000001</v>
      </c>
    </row>
    <row r="2220" spans="1:2" x14ac:dyDescent="0.15">
      <c r="A2220" s="47">
        <v>43984</v>
      </c>
      <c r="B2220" s="48">
        <v>1.2548999999999999</v>
      </c>
    </row>
    <row r="2221" spans="1:2" x14ac:dyDescent="0.15">
      <c r="A2221" s="47">
        <v>43985</v>
      </c>
      <c r="B2221" s="48">
        <v>1.2572000000000001</v>
      </c>
    </row>
    <row r="2222" spans="1:2" x14ac:dyDescent="0.15">
      <c r="A2222" s="47">
        <v>43986</v>
      </c>
      <c r="B2222" s="48">
        <v>1.2594000000000001</v>
      </c>
    </row>
    <row r="2223" spans="1:2" x14ac:dyDescent="0.15">
      <c r="A2223" s="47">
        <v>43987</v>
      </c>
      <c r="B2223" s="48">
        <v>1.2663</v>
      </c>
    </row>
    <row r="2224" spans="1:2" x14ac:dyDescent="0.15">
      <c r="A2224" s="47">
        <v>43990</v>
      </c>
      <c r="B2224" s="48">
        <v>1.2722</v>
      </c>
    </row>
    <row r="2225" spans="1:2" x14ac:dyDescent="0.15">
      <c r="A2225" s="47">
        <v>43991</v>
      </c>
      <c r="B2225" s="48">
        <v>1.2728999999999999</v>
      </c>
    </row>
    <row r="2226" spans="1:2" x14ac:dyDescent="0.15">
      <c r="A2226" s="47">
        <v>43992</v>
      </c>
      <c r="B2226" s="48">
        <v>1.2745</v>
      </c>
    </row>
    <row r="2227" spans="1:2" x14ac:dyDescent="0.15">
      <c r="A2227" s="47">
        <v>43993</v>
      </c>
      <c r="B2227" s="48">
        <v>1.26</v>
      </c>
    </row>
    <row r="2228" spans="1:2" x14ac:dyDescent="0.15">
      <c r="A2228" s="47">
        <v>43994</v>
      </c>
      <c r="B2228" s="48">
        <v>1.254</v>
      </c>
    </row>
    <row r="2229" spans="1:2" x14ac:dyDescent="0.15">
      <c r="A2229" s="47">
        <v>43997</v>
      </c>
      <c r="B2229" s="48">
        <v>1.2602</v>
      </c>
    </row>
    <row r="2230" spans="1:2" x14ac:dyDescent="0.15">
      <c r="A2230" s="47">
        <v>43998</v>
      </c>
      <c r="B2230" s="48">
        <v>1.2574000000000001</v>
      </c>
    </row>
    <row r="2231" spans="1:2" x14ac:dyDescent="0.15">
      <c r="A2231" s="47">
        <v>43999</v>
      </c>
      <c r="B2231" s="48">
        <v>1.2554000000000001</v>
      </c>
    </row>
    <row r="2232" spans="1:2" x14ac:dyDescent="0.15">
      <c r="A2232" s="47">
        <v>44000</v>
      </c>
      <c r="B2232" s="48">
        <v>1.2423999999999999</v>
      </c>
    </row>
    <row r="2233" spans="1:2" x14ac:dyDescent="0.15">
      <c r="A2233" s="47">
        <v>44001</v>
      </c>
      <c r="B2233" s="48">
        <v>1.2356</v>
      </c>
    </row>
    <row r="2234" spans="1:2" x14ac:dyDescent="0.15">
      <c r="A2234" s="47">
        <v>44004</v>
      </c>
      <c r="B2234" s="48">
        <v>1.2461</v>
      </c>
    </row>
    <row r="2235" spans="1:2" x14ac:dyDescent="0.15">
      <c r="A2235" s="47">
        <v>44005</v>
      </c>
      <c r="B2235" s="48">
        <v>1.2518</v>
      </c>
    </row>
    <row r="2236" spans="1:2" x14ac:dyDescent="0.15">
      <c r="A2236" s="47">
        <v>44006</v>
      </c>
      <c r="B2236" s="48">
        <v>1.2418</v>
      </c>
    </row>
    <row r="2237" spans="1:2" x14ac:dyDescent="0.15">
      <c r="A2237" s="47">
        <v>44007</v>
      </c>
      <c r="B2237" s="48">
        <v>1.2414000000000001</v>
      </c>
    </row>
    <row r="2238" spans="1:2" x14ac:dyDescent="0.15">
      <c r="A2238" s="47">
        <v>44008</v>
      </c>
      <c r="B2238" s="48">
        <v>1.2333000000000001</v>
      </c>
    </row>
    <row r="2239" spans="1:2" x14ac:dyDescent="0.15">
      <c r="A2239" s="47">
        <v>44011</v>
      </c>
      <c r="B2239" s="48">
        <v>1.2296</v>
      </c>
    </row>
    <row r="2240" spans="1:2" x14ac:dyDescent="0.15">
      <c r="A2240" s="47">
        <v>44012</v>
      </c>
      <c r="B2240" s="48">
        <v>1.2399</v>
      </c>
    </row>
    <row r="2241" spans="1:2" x14ac:dyDescent="0.15">
      <c r="A2241" s="47">
        <v>44013</v>
      </c>
      <c r="B2241" s="48">
        <v>1.2470000000000001</v>
      </c>
    </row>
    <row r="2242" spans="1:2" x14ac:dyDescent="0.15">
      <c r="A2242" s="47">
        <v>44014</v>
      </c>
      <c r="B2242" s="48">
        <v>1.2465999999999999</v>
      </c>
    </row>
    <row r="2243" spans="1:2" x14ac:dyDescent="0.15">
      <c r="A2243" s="47">
        <v>44015</v>
      </c>
      <c r="B2243" s="48">
        <v>1.2483</v>
      </c>
    </row>
    <row r="2244" spans="1:2" x14ac:dyDescent="0.15">
      <c r="A2244" s="47">
        <v>44018</v>
      </c>
      <c r="B2244" s="48">
        <v>1.2491000000000001</v>
      </c>
    </row>
    <row r="2245" spans="1:2" x14ac:dyDescent="0.15">
      <c r="A2245" s="47">
        <v>44019</v>
      </c>
      <c r="B2245" s="48">
        <v>1.254</v>
      </c>
    </row>
    <row r="2246" spans="1:2" x14ac:dyDescent="0.15">
      <c r="A2246" s="47">
        <v>44020</v>
      </c>
      <c r="B2246" s="48">
        <v>1.2608999999999999</v>
      </c>
    </row>
    <row r="2247" spans="1:2" x14ac:dyDescent="0.15">
      <c r="A2247" s="47">
        <v>44021</v>
      </c>
      <c r="B2247" s="48">
        <v>1.2604</v>
      </c>
    </row>
    <row r="2248" spans="1:2" x14ac:dyDescent="0.15">
      <c r="A2248" s="47">
        <v>44022</v>
      </c>
      <c r="B2248" s="48">
        <v>1.262</v>
      </c>
    </row>
    <row r="2249" spans="1:2" x14ac:dyDescent="0.15">
      <c r="A2249" s="47">
        <v>44025</v>
      </c>
      <c r="B2249" s="48">
        <v>1.2552000000000001</v>
      </c>
    </row>
    <row r="2250" spans="1:2" x14ac:dyDescent="0.15">
      <c r="A2250" s="47">
        <v>44026</v>
      </c>
      <c r="B2250" s="48">
        <v>1.2547999999999999</v>
      </c>
    </row>
    <row r="2251" spans="1:2" x14ac:dyDescent="0.15">
      <c r="A2251" s="47">
        <v>44027</v>
      </c>
      <c r="B2251" s="48">
        <v>1.258</v>
      </c>
    </row>
    <row r="2252" spans="1:2" x14ac:dyDescent="0.15">
      <c r="A2252" s="47">
        <v>44028</v>
      </c>
      <c r="B2252" s="48">
        <v>1.2548999999999999</v>
      </c>
    </row>
    <row r="2253" spans="1:2" x14ac:dyDescent="0.15">
      <c r="A2253" s="47">
        <v>44029</v>
      </c>
      <c r="B2253" s="48">
        <v>1.2565</v>
      </c>
    </row>
    <row r="2254" spans="1:2" x14ac:dyDescent="0.15">
      <c r="A2254" s="47">
        <v>44032</v>
      </c>
      <c r="B2254" s="48">
        <v>1.266</v>
      </c>
    </row>
    <row r="2255" spans="1:2" x14ac:dyDescent="0.15">
      <c r="A2255" s="47">
        <v>44033</v>
      </c>
      <c r="B2255" s="48">
        <v>1.2727999999999999</v>
      </c>
    </row>
    <row r="2256" spans="1:2" x14ac:dyDescent="0.15">
      <c r="A2256" s="47">
        <v>44034</v>
      </c>
      <c r="B2256" s="48">
        <v>1.2732000000000001</v>
      </c>
    </row>
    <row r="2257" spans="1:2" x14ac:dyDescent="0.15">
      <c r="A2257" s="47">
        <v>44035</v>
      </c>
      <c r="B2257" s="48">
        <v>1.2739</v>
      </c>
    </row>
    <row r="2258" spans="1:2" x14ac:dyDescent="0.15">
      <c r="A2258" s="47">
        <v>44036</v>
      </c>
      <c r="B2258" s="48">
        <v>1.2788999999999999</v>
      </c>
    </row>
    <row r="2259" spans="1:2" x14ac:dyDescent="0.15">
      <c r="A2259" s="47">
        <v>44039</v>
      </c>
      <c r="B2259" s="48">
        <v>1.2881</v>
      </c>
    </row>
    <row r="2260" spans="1:2" x14ac:dyDescent="0.15">
      <c r="A2260" s="47">
        <v>44040</v>
      </c>
      <c r="B2260" s="48">
        <v>1.2929999999999999</v>
      </c>
    </row>
    <row r="2261" spans="1:2" x14ac:dyDescent="0.15">
      <c r="A2261" s="47">
        <v>44041</v>
      </c>
      <c r="B2261" s="48">
        <v>1.2995000000000001</v>
      </c>
    </row>
    <row r="2262" spans="1:2" x14ac:dyDescent="0.15">
      <c r="A2262" s="47">
        <v>44042</v>
      </c>
      <c r="B2262" s="48">
        <v>1.3092999999999999</v>
      </c>
    </row>
    <row r="2263" spans="1:2" x14ac:dyDescent="0.15">
      <c r="A2263" s="47">
        <v>44043</v>
      </c>
      <c r="B2263" s="48">
        <v>1.3088</v>
      </c>
    </row>
    <row r="2264" spans="1:2" x14ac:dyDescent="0.15">
      <c r="A2264" s="47">
        <v>44046</v>
      </c>
      <c r="B2264" s="48">
        <v>1.3071999999999999</v>
      </c>
    </row>
    <row r="2265" spans="1:2" x14ac:dyDescent="0.15">
      <c r="A2265" s="47">
        <v>44047</v>
      </c>
      <c r="B2265" s="48">
        <v>1.306</v>
      </c>
    </row>
    <row r="2266" spans="1:2" x14ac:dyDescent="0.15">
      <c r="A2266" s="47">
        <v>44048</v>
      </c>
      <c r="B2266" s="48">
        <v>1.3111999999999999</v>
      </c>
    </row>
    <row r="2267" spans="1:2" x14ac:dyDescent="0.15">
      <c r="A2267" s="47">
        <v>44049</v>
      </c>
      <c r="B2267" s="48">
        <v>1.3146</v>
      </c>
    </row>
    <row r="2268" spans="1:2" x14ac:dyDescent="0.15">
      <c r="A2268" s="47">
        <v>44050</v>
      </c>
      <c r="B2268" s="48">
        <v>1.3050999999999999</v>
      </c>
    </row>
    <row r="2269" spans="1:2" x14ac:dyDescent="0.15">
      <c r="A2269" s="47">
        <v>44053</v>
      </c>
      <c r="B2269" s="48">
        <v>1.3069999999999999</v>
      </c>
    </row>
    <row r="2270" spans="1:2" x14ac:dyDescent="0.15">
      <c r="A2270" s="47">
        <v>44054</v>
      </c>
      <c r="B2270" s="48">
        <v>1.3048</v>
      </c>
    </row>
    <row r="2271" spans="1:2" x14ac:dyDescent="0.15">
      <c r="A2271" s="47">
        <v>44055</v>
      </c>
      <c r="B2271" s="48">
        <v>1.3031999999999999</v>
      </c>
    </row>
    <row r="2272" spans="1:2" x14ac:dyDescent="0.15">
      <c r="A2272" s="47">
        <v>44056</v>
      </c>
      <c r="B2272" s="48">
        <v>1.3063</v>
      </c>
    </row>
    <row r="2273" spans="1:2" x14ac:dyDescent="0.15">
      <c r="A2273" s="47">
        <v>44057</v>
      </c>
      <c r="B2273" s="48">
        <v>1.3084</v>
      </c>
    </row>
    <row r="2274" spans="1:2" x14ac:dyDescent="0.15">
      <c r="A2274" s="47">
        <v>44060</v>
      </c>
      <c r="B2274" s="48">
        <v>1.3102</v>
      </c>
    </row>
    <row r="2275" spans="1:2" x14ac:dyDescent="0.15">
      <c r="A2275" s="47">
        <v>44061</v>
      </c>
      <c r="B2275" s="48">
        <v>1.3234999999999999</v>
      </c>
    </row>
    <row r="2276" spans="1:2" x14ac:dyDescent="0.15">
      <c r="A2276" s="47">
        <v>44062</v>
      </c>
      <c r="B2276" s="48">
        <v>1.3098000000000001</v>
      </c>
    </row>
    <row r="2277" spans="1:2" x14ac:dyDescent="0.15">
      <c r="A2277" s="47">
        <v>44063</v>
      </c>
      <c r="B2277" s="48">
        <v>1.3211999999999999</v>
      </c>
    </row>
    <row r="2278" spans="1:2" x14ac:dyDescent="0.15">
      <c r="A2278" s="47">
        <v>44064</v>
      </c>
      <c r="B2278" s="48">
        <v>1.3087</v>
      </c>
    </row>
    <row r="2279" spans="1:2" x14ac:dyDescent="0.15">
      <c r="A2279" s="47">
        <v>44067</v>
      </c>
      <c r="B2279" s="48">
        <v>1.3063</v>
      </c>
    </row>
    <row r="2280" spans="1:2" x14ac:dyDescent="0.15">
      <c r="A2280" s="47">
        <v>44068</v>
      </c>
      <c r="B2280" s="48">
        <v>1.3149999999999999</v>
      </c>
    </row>
    <row r="2281" spans="1:2" x14ac:dyDescent="0.15">
      <c r="A2281" s="47">
        <v>44069</v>
      </c>
      <c r="B2281" s="48">
        <v>1.3208</v>
      </c>
    </row>
    <row r="2282" spans="1:2" x14ac:dyDescent="0.15">
      <c r="A2282" s="47">
        <v>44070</v>
      </c>
      <c r="B2282" s="48">
        <v>1.3198000000000001</v>
      </c>
    </row>
    <row r="2283" spans="1:2" x14ac:dyDescent="0.15">
      <c r="A2283" s="47">
        <v>44071</v>
      </c>
      <c r="B2283" s="48">
        <v>1.3349</v>
      </c>
    </row>
    <row r="2284" spans="1:2" x14ac:dyDescent="0.15">
      <c r="A2284" s="47">
        <v>44074</v>
      </c>
      <c r="B2284" s="48">
        <v>1.3369</v>
      </c>
    </row>
    <row r="2285" spans="1:2" x14ac:dyDescent="0.15">
      <c r="A2285" s="47">
        <v>44075</v>
      </c>
      <c r="B2285" s="48">
        <v>1.3381000000000001</v>
      </c>
    </row>
    <row r="2286" spans="1:2" x14ac:dyDescent="0.15">
      <c r="A2286" s="47">
        <v>44076</v>
      </c>
      <c r="B2286" s="48">
        <v>1.3351999999999999</v>
      </c>
    </row>
    <row r="2287" spans="1:2" x14ac:dyDescent="0.15">
      <c r="A2287" s="47">
        <v>44077</v>
      </c>
      <c r="B2287" s="48">
        <v>1.3280000000000001</v>
      </c>
    </row>
    <row r="2288" spans="1:2" x14ac:dyDescent="0.15">
      <c r="A2288" s="47">
        <v>44078</v>
      </c>
      <c r="B2288" s="48">
        <v>1.3282</v>
      </c>
    </row>
    <row r="2289" spans="1:2" x14ac:dyDescent="0.15">
      <c r="A2289" s="47">
        <v>44081</v>
      </c>
      <c r="B2289" s="48">
        <v>1.3166</v>
      </c>
    </row>
    <row r="2290" spans="1:2" x14ac:dyDescent="0.15">
      <c r="A2290" s="47">
        <v>44082</v>
      </c>
      <c r="B2290" s="48">
        <v>1.2987</v>
      </c>
    </row>
    <row r="2291" spans="1:2" x14ac:dyDescent="0.15">
      <c r="A2291" s="47">
        <v>44083</v>
      </c>
      <c r="B2291" s="48">
        <v>1.3</v>
      </c>
    </row>
    <row r="2292" spans="1:2" x14ac:dyDescent="0.15">
      <c r="A2292" s="47">
        <v>44084</v>
      </c>
      <c r="B2292" s="48">
        <v>1.2803</v>
      </c>
    </row>
    <row r="2293" spans="1:2" x14ac:dyDescent="0.15">
      <c r="A2293" s="47">
        <v>44085</v>
      </c>
      <c r="B2293" s="48">
        <v>1.2793000000000001</v>
      </c>
    </row>
    <row r="2294" spans="1:2" x14ac:dyDescent="0.15">
      <c r="A2294" s="47">
        <v>44088</v>
      </c>
      <c r="B2294" s="48">
        <v>1.2844</v>
      </c>
    </row>
    <row r="2295" spans="1:2" x14ac:dyDescent="0.15">
      <c r="A2295" s="47">
        <v>44089</v>
      </c>
      <c r="B2295" s="48">
        <v>1.2886</v>
      </c>
    </row>
    <row r="2296" spans="1:2" x14ac:dyDescent="0.15">
      <c r="A2296" s="47">
        <v>44090</v>
      </c>
      <c r="B2296" s="48">
        <v>1.2965</v>
      </c>
    </row>
    <row r="2297" spans="1:2" x14ac:dyDescent="0.15">
      <c r="A2297" s="47">
        <v>44091</v>
      </c>
      <c r="B2297" s="48">
        <v>1.2971999999999999</v>
      </c>
    </row>
    <row r="2298" spans="1:2" x14ac:dyDescent="0.15">
      <c r="A2298" s="47">
        <v>44092</v>
      </c>
      <c r="B2298" s="48">
        <v>1.2915000000000001</v>
      </c>
    </row>
    <row r="2299" spans="1:2" x14ac:dyDescent="0.15">
      <c r="A2299" s="47">
        <v>44095</v>
      </c>
      <c r="B2299" s="48">
        <v>1.2814000000000001</v>
      </c>
    </row>
    <row r="2300" spans="1:2" x14ac:dyDescent="0.15">
      <c r="A2300" s="47">
        <v>44096</v>
      </c>
      <c r="B2300" s="48">
        <v>1.2730999999999999</v>
      </c>
    </row>
    <row r="2301" spans="1:2" x14ac:dyDescent="0.15">
      <c r="A2301" s="47">
        <v>44097</v>
      </c>
      <c r="B2301" s="48">
        <v>1.2722</v>
      </c>
    </row>
    <row r="2302" spans="1:2" x14ac:dyDescent="0.15">
      <c r="A2302" s="47">
        <v>44098</v>
      </c>
      <c r="B2302" s="48">
        <v>1.2748999999999999</v>
      </c>
    </row>
    <row r="2303" spans="1:2" x14ac:dyDescent="0.15">
      <c r="A2303" s="47">
        <v>44099</v>
      </c>
      <c r="B2303" s="48">
        <v>1.2745</v>
      </c>
    </row>
    <row r="2304" spans="1:2" x14ac:dyDescent="0.15">
      <c r="A2304" s="47">
        <v>44102</v>
      </c>
      <c r="B2304" s="48">
        <v>1.2827</v>
      </c>
    </row>
    <row r="2305" spans="1:2" x14ac:dyDescent="0.15">
      <c r="A2305" s="47">
        <v>44103</v>
      </c>
      <c r="B2305" s="48">
        <v>1.2861</v>
      </c>
    </row>
    <row r="2306" spans="1:2" x14ac:dyDescent="0.15">
      <c r="A2306" s="47">
        <v>44104</v>
      </c>
      <c r="B2306" s="48">
        <v>1.2916000000000001</v>
      </c>
    </row>
    <row r="2307" spans="1:2" x14ac:dyDescent="0.15">
      <c r="A2307" s="47">
        <v>44105</v>
      </c>
      <c r="B2307" s="48">
        <v>1.2888999999999999</v>
      </c>
    </row>
    <row r="2308" spans="1:2" x14ac:dyDescent="0.15">
      <c r="A2308" s="47">
        <v>44106</v>
      </c>
      <c r="B2308" s="48">
        <v>1.2930999999999999</v>
      </c>
    </row>
    <row r="2309" spans="1:2" x14ac:dyDescent="0.15">
      <c r="A2309" s="47">
        <v>44109</v>
      </c>
      <c r="B2309" s="48">
        <v>1.2977000000000001</v>
      </c>
    </row>
    <row r="2310" spans="1:2" x14ac:dyDescent="0.15">
      <c r="A2310" s="47">
        <v>44110</v>
      </c>
      <c r="B2310" s="48">
        <v>1.2877000000000001</v>
      </c>
    </row>
    <row r="2311" spans="1:2" x14ac:dyDescent="0.15">
      <c r="A2311" s="47">
        <v>44111</v>
      </c>
      <c r="B2311" s="48">
        <v>1.2918000000000001</v>
      </c>
    </row>
    <row r="2312" spans="1:2" x14ac:dyDescent="0.15">
      <c r="A2312" s="47">
        <v>44112</v>
      </c>
      <c r="B2312" s="48">
        <v>1.2932999999999999</v>
      </c>
    </row>
    <row r="2313" spans="1:2" x14ac:dyDescent="0.15">
      <c r="A2313" s="47">
        <v>44113</v>
      </c>
      <c r="B2313" s="48">
        <v>1.3046</v>
      </c>
    </row>
    <row r="2314" spans="1:2" x14ac:dyDescent="0.15">
      <c r="A2314" s="47">
        <v>44116</v>
      </c>
      <c r="B2314" s="48">
        <v>1.3064</v>
      </c>
    </row>
    <row r="2315" spans="1:2" x14ac:dyDescent="0.15">
      <c r="A2315" s="47">
        <v>44117</v>
      </c>
      <c r="B2315" s="48">
        <v>1.2934000000000001</v>
      </c>
    </row>
    <row r="2316" spans="1:2" x14ac:dyDescent="0.15">
      <c r="A2316" s="47">
        <v>44118</v>
      </c>
      <c r="B2316" s="48">
        <v>1.3010999999999999</v>
      </c>
    </row>
    <row r="2317" spans="1:2" x14ac:dyDescent="0.15">
      <c r="A2317" s="47">
        <v>44119</v>
      </c>
      <c r="B2317" s="48">
        <v>1.2914000000000001</v>
      </c>
    </row>
    <row r="2318" spans="1:2" x14ac:dyDescent="0.15">
      <c r="A2318" s="47">
        <v>44120</v>
      </c>
      <c r="B2318" s="48">
        <v>1.2912999999999999</v>
      </c>
    </row>
    <row r="2319" spans="1:2" x14ac:dyDescent="0.15">
      <c r="A2319" s="47">
        <v>44123</v>
      </c>
      <c r="B2319" s="48">
        <v>1.2947</v>
      </c>
    </row>
    <row r="2320" spans="1:2" x14ac:dyDescent="0.15">
      <c r="A2320" s="47">
        <v>44124</v>
      </c>
      <c r="B2320" s="48">
        <v>1.2944</v>
      </c>
    </row>
    <row r="2321" spans="1:2" x14ac:dyDescent="0.15">
      <c r="A2321" s="47">
        <v>44125</v>
      </c>
      <c r="B2321" s="48">
        <v>1.3144</v>
      </c>
    </row>
    <row r="2322" spans="1:2" x14ac:dyDescent="0.15">
      <c r="A2322" s="47">
        <v>44126</v>
      </c>
      <c r="B2322" s="48">
        <v>1.3081</v>
      </c>
    </row>
    <row r="2323" spans="1:2" x14ac:dyDescent="0.15">
      <c r="A2323" s="47">
        <v>44127</v>
      </c>
      <c r="B2323" s="48">
        <v>1.304</v>
      </c>
    </row>
    <row r="2324" spans="1:2" x14ac:dyDescent="0.15">
      <c r="A2324" s="47">
        <v>44130</v>
      </c>
      <c r="B2324" s="48">
        <v>1.3023</v>
      </c>
    </row>
    <row r="2325" spans="1:2" x14ac:dyDescent="0.15">
      <c r="A2325" s="47">
        <v>44131</v>
      </c>
      <c r="B2325" s="48">
        <v>1.3043</v>
      </c>
    </row>
    <row r="2326" spans="1:2" x14ac:dyDescent="0.15">
      <c r="A2326" s="47">
        <v>44132</v>
      </c>
      <c r="B2326" s="48">
        <v>1.2981</v>
      </c>
    </row>
    <row r="2327" spans="1:2" x14ac:dyDescent="0.15">
      <c r="A2327" s="47">
        <v>44133</v>
      </c>
      <c r="B2327" s="48">
        <v>1.2926</v>
      </c>
    </row>
    <row r="2328" spans="1:2" x14ac:dyDescent="0.15">
      <c r="A2328" s="47">
        <v>44134</v>
      </c>
      <c r="B2328" s="48">
        <v>1.2941</v>
      </c>
    </row>
    <row r="2329" spans="1:2" x14ac:dyDescent="0.15">
      <c r="A2329" s="47">
        <v>44137</v>
      </c>
      <c r="B2329" s="48">
        <v>1.2911999999999999</v>
      </c>
    </row>
    <row r="2330" spans="1:2" x14ac:dyDescent="0.15">
      <c r="A2330" s="47">
        <v>44138</v>
      </c>
      <c r="B2330" s="48">
        <v>1.3058000000000001</v>
      </c>
    </row>
    <row r="2331" spans="1:2" x14ac:dyDescent="0.15">
      <c r="A2331" s="47">
        <v>44139</v>
      </c>
      <c r="B2331" s="48">
        <v>1.2985</v>
      </c>
    </row>
    <row r="2332" spans="1:2" x14ac:dyDescent="0.15">
      <c r="A2332" s="47">
        <v>44140</v>
      </c>
      <c r="B2332" s="48">
        <v>1.3142</v>
      </c>
    </row>
    <row r="2333" spans="1:2" x14ac:dyDescent="0.15">
      <c r="A2333" s="47">
        <v>44141</v>
      </c>
      <c r="B2333" s="48">
        <v>1.3156000000000001</v>
      </c>
    </row>
    <row r="2334" spans="1:2" x14ac:dyDescent="0.15">
      <c r="A2334" s="47">
        <v>44144</v>
      </c>
      <c r="B2334" s="48">
        <v>1.3163</v>
      </c>
    </row>
    <row r="2335" spans="1:2" x14ac:dyDescent="0.15">
      <c r="A2335" s="47">
        <v>44145</v>
      </c>
      <c r="B2335" s="48">
        <v>1.3270999999999999</v>
      </c>
    </row>
    <row r="2336" spans="1:2" x14ac:dyDescent="0.15">
      <c r="A2336" s="47">
        <v>44146</v>
      </c>
      <c r="B2336" s="48">
        <v>1.3221000000000001</v>
      </c>
    </row>
    <row r="2337" spans="1:2" x14ac:dyDescent="0.15">
      <c r="A2337" s="47">
        <v>44147</v>
      </c>
      <c r="B2337" s="48">
        <v>1.3113999999999999</v>
      </c>
    </row>
    <row r="2338" spans="1:2" x14ac:dyDescent="0.15">
      <c r="A2338" s="47">
        <v>44148</v>
      </c>
      <c r="B2338" s="48">
        <v>1.3186</v>
      </c>
    </row>
    <row r="2339" spans="1:2" x14ac:dyDescent="0.15">
      <c r="A2339" s="47">
        <v>44151</v>
      </c>
      <c r="B2339" s="48">
        <v>1.3190999999999999</v>
      </c>
    </row>
    <row r="2340" spans="1:2" x14ac:dyDescent="0.15">
      <c r="A2340" s="47">
        <v>44152</v>
      </c>
      <c r="B2340" s="48">
        <v>1.3241000000000001</v>
      </c>
    </row>
    <row r="2341" spans="1:2" x14ac:dyDescent="0.15">
      <c r="A2341" s="47">
        <v>44153</v>
      </c>
      <c r="B2341" s="48">
        <v>1.3269</v>
      </c>
    </row>
    <row r="2342" spans="1:2" x14ac:dyDescent="0.15">
      <c r="A2342" s="47">
        <v>44154</v>
      </c>
      <c r="B2342" s="48">
        <v>1.3261000000000001</v>
      </c>
    </row>
    <row r="2343" spans="1:2" x14ac:dyDescent="0.15">
      <c r="A2343" s="47">
        <v>44155</v>
      </c>
      <c r="B2343" s="48">
        <v>1.3282</v>
      </c>
    </row>
    <row r="2344" spans="1:2" x14ac:dyDescent="0.15">
      <c r="A2344" s="47">
        <v>44158</v>
      </c>
      <c r="B2344" s="48">
        <v>1.3323</v>
      </c>
    </row>
    <row r="2345" spans="1:2" x14ac:dyDescent="0.15">
      <c r="A2345" s="47">
        <v>44159</v>
      </c>
      <c r="B2345" s="48">
        <v>1.3355999999999999</v>
      </c>
    </row>
    <row r="2346" spans="1:2" x14ac:dyDescent="0.15">
      <c r="A2346" s="47">
        <v>44160</v>
      </c>
      <c r="B2346" s="48">
        <v>1.3382000000000001</v>
      </c>
    </row>
    <row r="2347" spans="1:2" x14ac:dyDescent="0.15">
      <c r="A2347" s="47">
        <v>44161</v>
      </c>
      <c r="B2347" s="48">
        <v>1.3354999999999999</v>
      </c>
    </row>
    <row r="2348" spans="1:2" x14ac:dyDescent="0.15">
      <c r="A2348" s="47">
        <v>44162</v>
      </c>
      <c r="B2348" s="48">
        <v>1.3313999999999999</v>
      </c>
    </row>
    <row r="2349" spans="1:2" x14ac:dyDescent="0.15">
      <c r="A2349" s="47">
        <v>44165</v>
      </c>
      <c r="B2349" s="48">
        <v>1.3321000000000001</v>
      </c>
    </row>
    <row r="2350" spans="1:2" x14ac:dyDescent="0.15">
      <c r="A2350" s="47">
        <v>44166</v>
      </c>
      <c r="B2350" s="48">
        <v>1.3414999999999999</v>
      </c>
    </row>
    <row r="2351" spans="1:2" x14ac:dyDescent="0.15">
      <c r="A2351" s="47">
        <v>44167</v>
      </c>
      <c r="B2351" s="48">
        <v>1.3363</v>
      </c>
    </row>
    <row r="2352" spans="1:2" x14ac:dyDescent="0.15">
      <c r="A2352" s="47">
        <v>44168</v>
      </c>
      <c r="B2352" s="48">
        <v>1.3452</v>
      </c>
    </row>
    <row r="2353" spans="1:2" x14ac:dyDescent="0.15">
      <c r="A2353" s="47">
        <v>44169</v>
      </c>
      <c r="B2353" s="48">
        <v>1.3436999999999999</v>
      </c>
    </row>
    <row r="2354" spans="1:2" x14ac:dyDescent="0.15">
      <c r="A2354" s="47">
        <v>44172</v>
      </c>
      <c r="B2354" s="48">
        <v>1.3375999999999999</v>
      </c>
    </row>
    <row r="2355" spans="1:2" x14ac:dyDescent="0.15">
      <c r="A2355" s="47">
        <v>44173</v>
      </c>
      <c r="B2355" s="48">
        <v>1.3352999999999999</v>
      </c>
    </row>
    <row r="2356" spans="1:2" x14ac:dyDescent="0.15">
      <c r="A2356" s="47">
        <v>44174</v>
      </c>
      <c r="B2356" s="48">
        <v>1.3395999999999999</v>
      </c>
    </row>
    <row r="2357" spans="1:2" x14ac:dyDescent="0.15">
      <c r="A2357" s="47">
        <v>44175</v>
      </c>
      <c r="B2357" s="48">
        <v>1.3292999999999999</v>
      </c>
    </row>
    <row r="2358" spans="1:2" x14ac:dyDescent="0.15">
      <c r="A2358" s="47">
        <v>44176</v>
      </c>
      <c r="B2358" s="48">
        <v>1.3223</v>
      </c>
    </row>
    <row r="2359" spans="1:2" x14ac:dyDescent="0.15">
      <c r="A2359" s="47">
        <v>44179</v>
      </c>
      <c r="B2359" s="48">
        <v>1.3322000000000001</v>
      </c>
    </row>
    <row r="2360" spans="1:2" x14ac:dyDescent="0.15">
      <c r="A2360" s="47">
        <v>44180</v>
      </c>
      <c r="B2360" s="48">
        <v>1.3461000000000001</v>
      </c>
    </row>
    <row r="2361" spans="1:2" x14ac:dyDescent="0.15">
      <c r="A2361" s="47">
        <v>44181</v>
      </c>
      <c r="B2361" s="48">
        <v>1.3507</v>
      </c>
    </row>
    <row r="2362" spans="1:2" x14ac:dyDescent="0.15">
      <c r="A2362" s="47">
        <v>44182</v>
      </c>
      <c r="B2362" s="48">
        <v>1.3582000000000001</v>
      </c>
    </row>
    <row r="2363" spans="1:2" x14ac:dyDescent="0.15">
      <c r="A2363" s="47">
        <v>44183</v>
      </c>
      <c r="B2363" s="48">
        <v>1.3520000000000001</v>
      </c>
    </row>
    <row r="2364" spans="1:2" x14ac:dyDescent="0.15">
      <c r="A2364" s="47">
        <v>44186</v>
      </c>
      <c r="B2364" s="48">
        <v>1.3463000000000001</v>
      </c>
    </row>
    <row r="2365" spans="1:2" x14ac:dyDescent="0.15">
      <c r="A2365" s="47">
        <v>44187</v>
      </c>
      <c r="B2365" s="48">
        <v>1.3360000000000001</v>
      </c>
    </row>
    <row r="2366" spans="1:2" x14ac:dyDescent="0.15">
      <c r="A2366" s="47">
        <v>44188</v>
      </c>
      <c r="B2366" s="48">
        <v>1.3492</v>
      </c>
    </row>
    <row r="2367" spans="1:2" x14ac:dyDescent="0.15">
      <c r="A2367" s="47">
        <v>44189</v>
      </c>
      <c r="B2367" s="48">
        <v>1.3554999999999999</v>
      </c>
    </row>
    <row r="2368" spans="1:2" x14ac:dyDescent="0.15">
      <c r="A2368" s="47">
        <v>44190</v>
      </c>
      <c r="B2368" s="48">
        <v>1.3548</v>
      </c>
    </row>
    <row r="2369" spans="1:2" x14ac:dyDescent="0.15">
      <c r="A2369" s="47">
        <v>44193</v>
      </c>
      <c r="B2369" s="48">
        <v>1.3449</v>
      </c>
    </row>
    <row r="2370" spans="1:2" x14ac:dyDescent="0.15">
      <c r="A2370" s="47">
        <v>44194</v>
      </c>
      <c r="B2370" s="48">
        <v>1.35</v>
      </c>
    </row>
    <row r="2371" spans="1:2" x14ac:dyDescent="0.15">
      <c r="A2371" s="47">
        <v>44195</v>
      </c>
      <c r="B2371" s="48">
        <v>1.3622000000000001</v>
      </c>
    </row>
    <row r="2372" spans="1:2" x14ac:dyDescent="0.15">
      <c r="A2372" s="47">
        <v>44196</v>
      </c>
      <c r="B2372" s="48">
        <v>1.3673</v>
      </c>
    </row>
    <row r="2373" spans="1:2" x14ac:dyDescent="0.15">
      <c r="A2373" s="47">
        <v>44197</v>
      </c>
      <c r="B2373" s="48">
        <v>1.3671</v>
      </c>
    </row>
    <row r="2374" spans="1:2" x14ac:dyDescent="0.15">
      <c r="A2374" s="47">
        <v>44200</v>
      </c>
      <c r="B2374" s="48">
        <v>1.3569</v>
      </c>
    </row>
    <row r="2375" spans="1:2" x14ac:dyDescent="0.15">
      <c r="A2375" s="47">
        <v>44201</v>
      </c>
      <c r="B2375" s="48">
        <v>1.3624000000000001</v>
      </c>
    </row>
    <row r="2376" spans="1:2" x14ac:dyDescent="0.15">
      <c r="A2376" s="47">
        <v>44202</v>
      </c>
      <c r="B2376" s="48">
        <v>1.3607</v>
      </c>
    </row>
    <row r="2377" spans="1:2" x14ac:dyDescent="0.15">
      <c r="A2377" s="47">
        <v>44203</v>
      </c>
      <c r="B2377" s="48">
        <v>1.3563000000000001</v>
      </c>
    </row>
    <row r="2378" spans="1:2" x14ac:dyDescent="0.15">
      <c r="A2378" s="47">
        <v>44204</v>
      </c>
      <c r="B2378" s="48">
        <v>1.3563000000000001</v>
      </c>
    </row>
    <row r="2379" spans="1:2" x14ac:dyDescent="0.15">
      <c r="A2379" s="47">
        <v>44207</v>
      </c>
      <c r="B2379" s="48">
        <v>1.3513999999999999</v>
      </c>
    </row>
    <row r="2380" spans="1:2" x14ac:dyDescent="0.15">
      <c r="A2380" s="47">
        <v>44208</v>
      </c>
      <c r="B2380" s="48">
        <v>1.3663000000000001</v>
      </c>
    </row>
    <row r="2381" spans="1:2" x14ac:dyDescent="0.15">
      <c r="A2381" s="47">
        <v>44209</v>
      </c>
      <c r="B2381" s="48">
        <v>1.3636999999999999</v>
      </c>
    </row>
    <row r="2382" spans="1:2" x14ac:dyDescent="0.15">
      <c r="A2382" s="47">
        <v>44210</v>
      </c>
      <c r="B2382" s="48">
        <v>1.3687</v>
      </c>
    </row>
    <row r="2383" spans="1:2" x14ac:dyDescent="0.15">
      <c r="A2383" s="47">
        <v>44211</v>
      </c>
      <c r="B2383" s="48">
        <v>1.3586</v>
      </c>
    </row>
    <row r="2384" spans="1:2" x14ac:dyDescent="0.15">
      <c r="A2384" s="47">
        <v>44214</v>
      </c>
      <c r="B2384" s="48">
        <v>1.3584000000000001</v>
      </c>
    </row>
    <row r="2385" spans="1:2" x14ac:dyDescent="0.15">
      <c r="A2385" s="47">
        <v>44215</v>
      </c>
      <c r="B2385" s="48">
        <v>1.3628</v>
      </c>
    </row>
    <row r="2386" spans="1:2" x14ac:dyDescent="0.15">
      <c r="A2386" s="47">
        <v>44216</v>
      </c>
      <c r="B2386" s="48">
        <v>1.3653</v>
      </c>
    </row>
    <row r="2387" spans="1:2" x14ac:dyDescent="0.15">
      <c r="A2387" s="47">
        <v>44217</v>
      </c>
      <c r="B2387" s="48">
        <v>1.3732</v>
      </c>
    </row>
    <row r="2388" spans="1:2" x14ac:dyDescent="0.15">
      <c r="A2388" s="47">
        <v>44218</v>
      </c>
      <c r="B2388" s="48">
        <v>1.3684000000000001</v>
      </c>
    </row>
    <row r="2389" spans="1:2" x14ac:dyDescent="0.15">
      <c r="A2389" s="47">
        <v>44221</v>
      </c>
      <c r="B2389" s="48">
        <v>1.3673999999999999</v>
      </c>
    </row>
    <row r="2390" spans="1:2" x14ac:dyDescent="0.15">
      <c r="A2390" s="47">
        <v>44222</v>
      </c>
      <c r="B2390" s="48">
        <v>1.3733</v>
      </c>
    </row>
    <row r="2391" spans="1:2" x14ac:dyDescent="0.15">
      <c r="A2391" s="47">
        <v>44223</v>
      </c>
      <c r="B2391" s="48">
        <v>1.3686</v>
      </c>
    </row>
    <row r="2392" spans="1:2" x14ac:dyDescent="0.15">
      <c r="A2392" s="47">
        <v>44224</v>
      </c>
      <c r="B2392" s="48">
        <v>1.3717999999999999</v>
      </c>
    </row>
    <row r="2393" spans="1:2" x14ac:dyDescent="0.15">
      <c r="A2393" s="47">
        <v>44225</v>
      </c>
      <c r="B2393" s="48">
        <v>1.3702000000000001</v>
      </c>
    </row>
    <row r="2394" spans="1:2" x14ac:dyDescent="0.15">
      <c r="A2394" s="47">
        <v>44228</v>
      </c>
      <c r="B2394" s="48">
        <v>1.3661000000000001</v>
      </c>
    </row>
    <row r="2395" spans="1:2" x14ac:dyDescent="0.15">
      <c r="A2395" s="47">
        <v>44229</v>
      </c>
      <c r="B2395" s="48">
        <v>1.3665</v>
      </c>
    </row>
    <row r="2396" spans="1:2" x14ac:dyDescent="0.15">
      <c r="A2396" s="47">
        <v>44230</v>
      </c>
      <c r="B2396" s="48">
        <v>1.3644000000000001</v>
      </c>
    </row>
    <row r="2397" spans="1:2" x14ac:dyDescent="0.15">
      <c r="A2397" s="47">
        <v>44231</v>
      </c>
      <c r="B2397" s="48">
        <v>1.367</v>
      </c>
    </row>
    <row r="2398" spans="1:2" x14ac:dyDescent="0.15">
      <c r="A2398" s="47">
        <v>44232</v>
      </c>
      <c r="B2398" s="48">
        <v>1.3733</v>
      </c>
    </row>
    <row r="2399" spans="1:2" x14ac:dyDescent="0.15">
      <c r="A2399" s="47">
        <v>44235</v>
      </c>
      <c r="B2399" s="48">
        <v>1.3737999999999999</v>
      </c>
    </row>
    <row r="2400" spans="1:2" x14ac:dyDescent="0.15">
      <c r="A2400" s="47">
        <v>44236</v>
      </c>
      <c r="B2400" s="48">
        <v>1.3814</v>
      </c>
    </row>
    <row r="2401" spans="1:2" x14ac:dyDescent="0.15">
      <c r="A2401" s="47">
        <v>44237</v>
      </c>
      <c r="B2401" s="48">
        <v>1.3828</v>
      </c>
    </row>
    <row r="2402" spans="1:2" x14ac:dyDescent="0.15">
      <c r="A2402" s="47">
        <v>44238</v>
      </c>
      <c r="B2402" s="48">
        <v>1.3815</v>
      </c>
    </row>
    <row r="2403" spans="1:2" x14ac:dyDescent="0.15">
      <c r="A2403" s="47">
        <v>44239</v>
      </c>
      <c r="B2403" s="48">
        <v>1.3844000000000001</v>
      </c>
    </row>
    <row r="2404" spans="1:2" x14ac:dyDescent="0.15">
      <c r="A2404" s="47">
        <v>44242</v>
      </c>
      <c r="B2404" s="48">
        <v>1.3903000000000001</v>
      </c>
    </row>
    <row r="2405" spans="1:2" x14ac:dyDescent="0.15">
      <c r="A2405" s="47">
        <v>44243</v>
      </c>
      <c r="B2405" s="48">
        <v>1.3900999999999999</v>
      </c>
    </row>
    <row r="2406" spans="1:2" x14ac:dyDescent="0.15">
      <c r="A2406" s="47">
        <v>44244</v>
      </c>
      <c r="B2406" s="48">
        <v>1.3853</v>
      </c>
    </row>
    <row r="2407" spans="1:2" x14ac:dyDescent="0.15">
      <c r="A2407" s="47">
        <v>44245</v>
      </c>
      <c r="B2407" s="48">
        <v>1.3971</v>
      </c>
    </row>
    <row r="2408" spans="1:2" x14ac:dyDescent="0.15">
      <c r="A2408" s="47">
        <v>44246</v>
      </c>
      <c r="B2408" s="48">
        <v>1.4014</v>
      </c>
    </row>
    <row r="2409" spans="1:2" x14ac:dyDescent="0.15">
      <c r="A2409" s="47">
        <v>44249</v>
      </c>
      <c r="B2409" s="48">
        <v>1.4060999999999999</v>
      </c>
    </row>
    <row r="2410" spans="1:2" x14ac:dyDescent="0.15">
      <c r="A2410" s="47">
        <v>44250</v>
      </c>
      <c r="B2410" s="48">
        <v>1.411</v>
      </c>
    </row>
    <row r="2411" spans="1:2" x14ac:dyDescent="0.15">
      <c r="A2411" s="47">
        <v>44251</v>
      </c>
      <c r="B2411" s="48">
        <v>1.4138999999999999</v>
      </c>
    </row>
    <row r="2412" spans="1:2" x14ac:dyDescent="0.15">
      <c r="A2412" s="47">
        <v>44252</v>
      </c>
      <c r="B2412" s="48">
        <v>1.4013</v>
      </c>
    </row>
    <row r="2413" spans="1:2" x14ac:dyDescent="0.15">
      <c r="A2413" s="47">
        <v>44253</v>
      </c>
      <c r="B2413" s="48">
        <v>1.3932</v>
      </c>
    </row>
    <row r="2414" spans="1:2" x14ac:dyDescent="0.15">
      <c r="A2414" s="47">
        <v>44256</v>
      </c>
      <c r="B2414" s="48">
        <v>1.3922000000000001</v>
      </c>
    </row>
    <row r="2415" spans="1:2" x14ac:dyDescent="0.15">
      <c r="A2415" s="47">
        <v>44257</v>
      </c>
      <c r="B2415" s="48">
        <v>1.3953</v>
      </c>
    </row>
    <row r="2416" spans="1:2" x14ac:dyDescent="0.15">
      <c r="A2416" s="47">
        <v>44258</v>
      </c>
      <c r="B2416" s="48">
        <v>1.3953</v>
      </c>
    </row>
    <row r="2417" spans="1:2" x14ac:dyDescent="0.15">
      <c r="A2417" s="47">
        <v>44259</v>
      </c>
      <c r="B2417" s="48">
        <v>1.3894</v>
      </c>
    </row>
    <row r="2418" spans="1:2" x14ac:dyDescent="0.15">
      <c r="A2418" s="47">
        <v>44260</v>
      </c>
      <c r="B2418" s="48">
        <v>1.3841000000000001</v>
      </c>
    </row>
    <row r="2419" spans="1:2" x14ac:dyDescent="0.15">
      <c r="A2419" s="47">
        <v>44263</v>
      </c>
      <c r="B2419" s="48">
        <v>1.3824000000000001</v>
      </c>
    </row>
    <row r="2420" spans="1:2" x14ac:dyDescent="0.15">
      <c r="A2420" s="47">
        <v>44264</v>
      </c>
      <c r="B2420" s="48">
        <v>1.3893</v>
      </c>
    </row>
    <row r="2421" spans="1:2" x14ac:dyDescent="0.15">
      <c r="A2421" s="47">
        <v>44265</v>
      </c>
      <c r="B2421" s="48">
        <v>1.393</v>
      </c>
    </row>
    <row r="2422" spans="1:2" x14ac:dyDescent="0.15">
      <c r="A2422" s="47">
        <v>44266</v>
      </c>
      <c r="B2422" s="48">
        <v>1.399</v>
      </c>
    </row>
    <row r="2423" spans="1:2" x14ac:dyDescent="0.15">
      <c r="A2423" s="47">
        <v>44267</v>
      </c>
      <c r="B2423" s="48">
        <v>1.3922000000000001</v>
      </c>
    </row>
    <row r="2424" spans="1:2" x14ac:dyDescent="0.15">
      <c r="A2424" s="47">
        <v>44270</v>
      </c>
      <c r="B2424" s="48">
        <v>1.3893</v>
      </c>
    </row>
    <row r="2425" spans="1:2" x14ac:dyDescent="0.15">
      <c r="A2425" s="47">
        <v>44271</v>
      </c>
      <c r="B2425" s="48">
        <v>1.3887</v>
      </c>
    </row>
    <row r="2426" spans="1:2" x14ac:dyDescent="0.15">
      <c r="A2426" s="47">
        <v>44272</v>
      </c>
      <c r="B2426" s="48">
        <v>1.3963000000000001</v>
      </c>
    </row>
    <row r="2427" spans="1:2" x14ac:dyDescent="0.15">
      <c r="A2427" s="47">
        <v>44273</v>
      </c>
      <c r="B2427" s="48">
        <v>1.3919999999999999</v>
      </c>
    </row>
    <row r="2428" spans="1:2" x14ac:dyDescent="0.15">
      <c r="A2428" s="47">
        <v>44274</v>
      </c>
      <c r="B2428" s="48">
        <v>1.3868</v>
      </c>
    </row>
    <row r="2429" spans="1:2" x14ac:dyDescent="0.15">
      <c r="A2429" s="47">
        <v>44277</v>
      </c>
      <c r="B2429" s="48">
        <v>1.3863000000000001</v>
      </c>
    </row>
    <row r="2430" spans="1:2" x14ac:dyDescent="0.15">
      <c r="A2430" s="47">
        <v>44278</v>
      </c>
      <c r="B2430" s="48">
        <v>1.375</v>
      </c>
    </row>
    <row r="2431" spans="1:2" x14ac:dyDescent="0.15">
      <c r="A2431" s="47">
        <v>44279</v>
      </c>
      <c r="B2431" s="48">
        <v>1.3683000000000001</v>
      </c>
    </row>
    <row r="2432" spans="1:2" x14ac:dyDescent="0.15">
      <c r="A2432" s="47">
        <v>44280</v>
      </c>
      <c r="B2432" s="48">
        <v>1.3732</v>
      </c>
    </row>
    <row r="2433" spans="1:2" x14ac:dyDescent="0.15">
      <c r="A2433" s="47">
        <v>44281</v>
      </c>
      <c r="B2433" s="48">
        <v>1.3787</v>
      </c>
    </row>
    <row r="2434" spans="1:2" x14ac:dyDescent="0.15">
      <c r="A2434" s="47">
        <v>44284</v>
      </c>
      <c r="B2434" s="48">
        <v>1.3758999999999999</v>
      </c>
    </row>
    <row r="2435" spans="1:2" x14ac:dyDescent="0.15">
      <c r="A2435" s="47">
        <v>44285</v>
      </c>
      <c r="B2435" s="48">
        <v>1.3738999999999999</v>
      </c>
    </row>
    <row r="2436" spans="1:2" x14ac:dyDescent="0.15">
      <c r="A2436" s="47">
        <v>44286</v>
      </c>
      <c r="B2436" s="48">
        <v>1.3778999999999999</v>
      </c>
    </row>
    <row r="2437" spans="1:2" x14ac:dyDescent="0.15">
      <c r="A2437" s="47">
        <v>44287</v>
      </c>
      <c r="B2437" s="48">
        <v>1.383</v>
      </c>
    </row>
    <row r="2438" spans="1:2" x14ac:dyDescent="0.15">
      <c r="A2438" s="47">
        <v>44288</v>
      </c>
      <c r="B2438" s="48">
        <v>1.3829</v>
      </c>
    </row>
    <row r="2439" spans="1:2" x14ac:dyDescent="0.15">
      <c r="A2439" s="47">
        <v>44291</v>
      </c>
      <c r="B2439" s="48">
        <v>1.3896999999999999</v>
      </c>
    </row>
    <row r="2440" spans="1:2" x14ac:dyDescent="0.15">
      <c r="A2440" s="47">
        <v>44292</v>
      </c>
      <c r="B2440" s="48">
        <v>1.3823000000000001</v>
      </c>
    </row>
    <row r="2441" spans="1:2" x14ac:dyDescent="0.15">
      <c r="A2441" s="47">
        <v>44293</v>
      </c>
      <c r="B2441" s="48">
        <v>1.3734</v>
      </c>
    </row>
    <row r="2442" spans="1:2" x14ac:dyDescent="0.15">
      <c r="A2442" s="47">
        <v>44294</v>
      </c>
      <c r="B2442" s="48">
        <v>1.3733</v>
      </c>
    </row>
    <row r="2443" spans="1:2" x14ac:dyDescent="0.15">
      <c r="A2443" s="47">
        <v>44295</v>
      </c>
      <c r="B2443" s="48">
        <v>1.3708</v>
      </c>
    </row>
    <row r="2444" spans="1:2" x14ac:dyDescent="0.15">
      <c r="A2444" s="47">
        <v>44298</v>
      </c>
      <c r="B2444" s="48">
        <v>1.3740000000000001</v>
      </c>
    </row>
    <row r="2445" spans="1:2" x14ac:dyDescent="0.15">
      <c r="A2445" s="47">
        <v>44299</v>
      </c>
      <c r="B2445" s="48">
        <v>1.3748</v>
      </c>
    </row>
    <row r="2446" spans="1:2" x14ac:dyDescent="0.15">
      <c r="A2446" s="47">
        <v>44300</v>
      </c>
      <c r="B2446" s="48">
        <v>1.3777999999999999</v>
      </c>
    </row>
    <row r="2447" spans="1:2" x14ac:dyDescent="0.15">
      <c r="A2447" s="47">
        <v>44301</v>
      </c>
      <c r="B2447" s="48">
        <v>1.3786</v>
      </c>
    </row>
    <row r="2448" spans="1:2" x14ac:dyDescent="0.15">
      <c r="A2448" s="47">
        <v>44302</v>
      </c>
      <c r="B2448" s="48">
        <v>1.383</v>
      </c>
    </row>
    <row r="2449" spans="1:2" x14ac:dyDescent="0.15">
      <c r="A2449" s="47">
        <v>44305</v>
      </c>
      <c r="B2449" s="48">
        <v>1.3983000000000001</v>
      </c>
    </row>
    <row r="2450" spans="1:2" x14ac:dyDescent="0.15">
      <c r="A2450" s="47">
        <v>44306</v>
      </c>
      <c r="B2450" s="48">
        <v>1.3935999999999999</v>
      </c>
    </row>
    <row r="2451" spans="1:2" x14ac:dyDescent="0.15">
      <c r="A2451" s="47">
        <v>44307</v>
      </c>
      <c r="B2451" s="48">
        <v>1.3929</v>
      </c>
    </row>
    <row r="2452" spans="1:2" x14ac:dyDescent="0.15">
      <c r="A2452" s="47">
        <v>44308</v>
      </c>
      <c r="B2452" s="48">
        <v>1.3835999999999999</v>
      </c>
    </row>
    <row r="2453" spans="1:2" x14ac:dyDescent="0.15">
      <c r="A2453" s="47">
        <v>44309</v>
      </c>
      <c r="B2453" s="48">
        <v>1.3874</v>
      </c>
    </row>
    <row r="2454" spans="1:2" x14ac:dyDescent="0.15">
      <c r="A2454" s="47">
        <v>44312</v>
      </c>
      <c r="B2454" s="48">
        <v>1.3895999999999999</v>
      </c>
    </row>
    <row r="2455" spans="1:2" x14ac:dyDescent="0.15">
      <c r="A2455" s="47">
        <v>44313</v>
      </c>
      <c r="B2455" s="48">
        <v>1.3912</v>
      </c>
    </row>
    <row r="2456" spans="1:2" x14ac:dyDescent="0.15">
      <c r="A2456" s="47">
        <v>44314</v>
      </c>
      <c r="B2456" s="48">
        <v>1.3932</v>
      </c>
    </row>
    <row r="2457" spans="1:2" x14ac:dyDescent="0.15">
      <c r="A2457" s="47">
        <v>44315</v>
      </c>
      <c r="B2457" s="48">
        <v>1.3939999999999999</v>
      </c>
    </row>
    <row r="2458" spans="1:2" x14ac:dyDescent="0.15">
      <c r="A2458" s="47">
        <v>44316</v>
      </c>
      <c r="B2458" s="48">
        <v>1.3814</v>
      </c>
    </row>
    <row r="2459" spans="1:2" x14ac:dyDescent="0.15">
      <c r="A2459" s="47">
        <v>44319</v>
      </c>
      <c r="B2459" s="48">
        <v>1.3909</v>
      </c>
    </row>
    <row r="2460" spans="1:2" x14ac:dyDescent="0.15">
      <c r="A2460" s="47">
        <v>44320</v>
      </c>
      <c r="B2460" s="48">
        <v>1.3885000000000001</v>
      </c>
    </row>
    <row r="2461" spans="1:2" x14ac:dyDescent="0.15">
      <c r="A2461" s="47">
        <v>44321</v>
      </c>
      <c r="B2461" s="48">
        <v>1.3903000000000001</v>
      </c>
    </row>
    <row r="2462" spans="1:2" x14ac:dyDescent="0.15">
      <c r="A2462" s="47">
        <v>44322</v>
      </c>
      <c r="B2462" s="48">
        <v>1.3885000000000001</v>
      </c>
    </row>
    <row r="2463" spans="1:2" x14ac:dyDescent="0.15">
      <c r="A2463" s="47">
        <v>44323</v>
      </c>
      <c r="B2463" s="48">
        <v>1.3972</v>
      </c>
    </row>
    <row r="2464" spans="1:2" x14ac:dyDescent="0.15">
      <c r="A2464" s="47">
        <v>44326</v>
      </c>
      <c r="B2464" s="48">
        <v>1.4119999999999999</v>
      </c>
    </row>
    <row r="2465" spans="1:2" x14ac:dyDescent="0.15">
      <c r="A2465" s="47">
        <v>44327</v>
      </c>
      <c r="B2465" s="48">
        <v>1.4140999999999999</v>
      </c>
    </row>
    <row r="2466" spans="1:2" x14ac:dyDescent="0.15">
      <c r="A2466" s="47">
        <v>44328</v>
      </c>
      <c r="B2466" s="48">
        <v>1.4052</v>
      </c>
    </row>
    <row r="2467" spans="1:2" x14ac:dyDescent="0.15">
      <c r="A2467" s="47">
        <v>44329</v>
      </c>
      <c r="B2467" s="48">
        <v>1.405</v>
      </c>
    </row>
    <row r="2468" spans="1:2" x14ac:dyDescent="0.15">
      <c r="A2468" s="47">
        <v>44330</v>
      </c>
      <c r="B2468" s="48">
        <v>1.4096</v>
      </c>
    </row>
    <row r="2469" spans="1:2" x14ac:dyDescent="0.15">
      <c r="A2469" s="47">
        <v>44333</v>
      </c>
      <c r="B2469" s="48">
        <v>1.4134</v>
      </c>
    </row>
    <row r="2470" spans="1:2" x14ac:dyDescent="0.15">
      <c r="A2470" s="47">
        <v>44334</v>
      </c>
      <c r="B2470" s="48">
        <v>1.4187000000000001</v>
      </c>
    </row>
    <row r="2471" spans="1:2" x14ac:dyDescent="0.15">
      <c r="A2471" s="47">
        <v>44335</v>
      </c>
      <c r="B2471" s="48">
        <v>1.4113</v>
      </c>
    </row>
    <row r="2472" spans="1:2" x14ac:dyDescent="0.15">
      <c r="A2472" s="47">
        <v>44336</v>
      </c>
      <c r="B2472" s="48">
        <v>1.4189000000000001</v>
      </c>
    </row>
    <row r="2473" spans="1:2" x14ac:dyDescent="0.15">
      <c r="A2473" s="47">
        <v>44337</v>
      </c>
      <c r="B2473" s="48">
        <v>1.4147000000000001</v>
      </c>
    </row>
    <row r="2474" spans="1:2" x14ac:dyDescent="0.15">
      <c r="A2474" s="47">
        <v>44340</v>
      </c>
      <c r="B2474" s="48">
        <v>1.4155</v>
      </c>
    </row>
    <row r="2475" spans="1:2" x14ac:dyDescent="0.15">
      <c r="A2475" s="47">
        <v>44341</v>
      </c>
      <c r="B2475" s="48">
        <v>1.4151</v>
      </c>
    </row>
    <row r="2476" spans="1:2" x14ac:dyDescent="0.15">
      <c r="A2476" s="47">
        <v>44342</v>
      </c>
      <c r="B2476" s="48">
        <v>1.4117999999999999</v>
      </c>
    </row>
    <row r="2477" spans="1:2" x14ac:dyDescent="0.15">
      <c r="A2477" s="47">
        <v>44343</v>
      </c>
      <c r="B2477" s="48">
        <v>1.4205000000000001</v>
      </c>
    </row>
    <row r="2478" spans="1:2" x14ac:dyDescent="0.15">
      <c r="A2478" s="47">
        <v>44344</v>
      </c>
      <c r="B2478" s="48">
        <v>1.4187000000000001</v>
      </c>
    </row>
    <row r="2479" spans="1:2" x14ac:dyDescent="0.15">
      <c r="A2479" s="47">
        <v>44347</v>
      </c>
      <c r="B2479" s="48">
        <v>1.4209000000000001</v>
      </c>
    </row>
    <row r="2480" spans="1:2" x14ac:dyDescent="0.15">
      <c r="A2480" s="47">
        <v>44348</v>
      </c>
      <c r="B2480" s="48">
        <v>1.4146000000000001</v>
      </c>
    </row>
    <row r="2481" spans="1:2" x14ac:dyDescent="0.15">
      <c r="A2481" s="47">
        <v>44349</v>
      </c>
      <c r="B2481" s="48">
        <v>1.4168000000000001</v>
      </c>
    </row>
    <row r="2482" spans="1:2" x14ac:dyDescent="0.15">
      <c r="A2482" s="47">
        <v>44350</v>
      </c>
      <c r="B2482" s="48">
        <v>1.4103000000000001</v>
      </c>
    </row>
    <row r="2483" spans="1:2" x14ac:dyDescent="0.15">
      <c r="A2483" s="47">
        <v>44351</v>
      </c>
      <c r="B2483" s="48">
        <v>1.4154</v>
      </c>
    </row>
    <row r="2484" spans="1:2" x14ac:dyDescent="0.15">
      <c r="A2484" s="47">
        <v>44354</v>
      </c>
      <c r="B2484" s="48">
        <v>1.4177999999999999</v>
      </c>
    </row>
    <row r="2485" spans="1:2" x14ac:dyDescent="0.15">
      <c r="A2485" s="47">
        <v>44355</v>
      </c>
      <c r="B2485" s="48">
        <v>1.4155</v>
      </c>
    </row>
    <row r="2486" spans="1:2" x14ac:dyDescent="0.15">
      <c r="A2486" s="47">
        <v>44356</v>
      </c>
      <c r="B2486" s="48">
        <v>1.4117999999999999</v>
      </c>
    </row>
    <row r="2487" spans="1:2" x14ac:dyDescent="0.15">
      <c r="A2487" s="47">
        <v>44357</v>
      </c>
      <c r="B2487" s="48">
        <v>1.4173</v>
      </c>
    </row>
    <row r="2488" spans="1:2" x14ac:dyDescent="0.15">
      <c r="A2488" s="47">
        <v>44358</v>
      </c>
      <c r="B2488" s="48">
        <v>1.4106000000000001</v>
      </c>
    </row>
    <row r="2489" spans="1:2" x14ac:dyDescent="0.15">
      <c r="A2489" s="47">
        <v>44361</v>
      </c>
      <c r="B2489" s="48">
        <v>1.4112</v>
      </c>
    </row>
    <row r="2490" spans="1:2" x14ac:dyDescent="0.15">
      <c r="A2490" s="47">
        <v>44362</v>
      </c>
      <c r="B2490" s="48">
        <v>1.4079999999999999</v>
      </c>
    </row>
    <row r="2491" spans="1:2" x14ac:dyDescent="0.15">
      <c r="A2491" s="47">
        <v>44363</v>
      </c>
      <c r="B2491" s="48">
        <v>1.3987000000000001</v>
      </c>
    </row>
    <row r="2492" spans="1:2" x14ac:dyDescent="0.15">
      <c r="A2492" s="47">
        <v>44364</v>
      </c>
      <c r="B2492" s="48">
        <v>1.3918999999999999</v>
      </c>
    </row>
    <row r="2493" spans="1:2" x14ac:dyDescent="0.15">
      <c r="A2493" s="47">
        <v>44365</v>
      </c>
      <c r="B2493" s="48">
        <v>1.3809</v>
      </c>
    </row>
    <row r="2494" spans="1:2" x14ac:dyDescent="0.15">
      <c r="A2494" s="47">
        <v>44368</v>
      </c>
      <c r="B2494" s="48">
        <v>1.3929</v>
      </c>
    </row>
    <row r="2495" spans="1:2" x14ac:dyDescent="0.15">
      <c r="A2495" s="47">
        <v>44369</v>
      </c>
      <c r="B2495" s="48">
        <v>1.3947000000000001</v>
      </c>
    </row>
    <row r="2496" spans="1:2" x14ac:dyDescent="0.15">
      <c r="A2496" s="47">
        <v>44370</v>
      </c>
      <c r="B2496" s="48">
        <v>1.3958999999999999</v>
      </c>
    </row>
    <row r="2497" spans="1:2" x14ac:dyDescent="0.15">
      <c r="A2497" s="47">
        <v>44371</v>
      </c>
      <c r="B2497" s="48">
        <v>1.3922000000000001</v>
      </c>
    </row>
    <row r="2498" spans="1:2" x14ac:dyDescent="0.15">
      <c r="A2498" s="47">
        <v>44372</v>
      </c>
      <c r="B2498" s="48">
        <v>1.3876999999999999</v>
      </c>
    </row>
    <row r="2499" spans="1:2" x14ac:dyDescent="0.15">
      <c r="A2499" s="47">
        <v>44375</v>
      </c>
      <c r="B2499" s="48">
        <v>1.3883000000000001</v>
      </c>
    </row>
    <row r="2500" spans="1:2" x14ac:dyDescent="0.15">
      <c r="A2500" s="47">
        <v>44376</v>
      </c>
      <c r="B2500" s="48">
        <v>1.3835</v>
      </c>
    </row>
    <row r="2501" spans="1:2" x14ac:dyDescent="0.15">
      <c r="A2501" s="47">
        <v>44377</v>
      </c>
      <c r="B2501" s="48">
        <v>1.3827</v>
      </c>
    </row>
    <row r="2502" spans="1:2" x14ac:dyDescent="0.15">
      <c r="A2502" s="47">
        <v>44378</v>
      </c>
      <c r="B2502" s="48">
        <v>1.3767</v>
      </c>
    </row>
    <row r="2503" spans="1:2" x14ac:dyDescent="0.15">
      <c r="A2503" s="47">
        <v>44379</v>
      </c>
      <c r="B2503" s="48">
        <v>1.3821000000000001</v>
      </c>
    </row>
    <row r="2504" spans="1:2" x14ac:dyDescent="0.15">
      <c r="A2504" s="47">
        <v>44382</v>
      </c>
      <c r="B2504" s="48">
        <v>1.3845000000000001</v>
      </c>
    </row>
    <row r="2505" spans="1:2" x14ac:dyDescent="0.15">
      <c r="A2505" s="47">
        <v>44383</v>
      </c>
      <c r="B2505" s="48">
        <v>1.3798999999999999</v>
      </c>
    </row>
    <row r="2506" spans="1:2" x14ac:dyDescent="0.15">
      <c r="A2506" s="47">
        <v>44384</v>
      </c>
      <c r="B2506" s="48">
        <v>1.38</v>
      </c>
    </row>
    <row r="2507" spans="1:2" x14ac:dyDescent="0.15">
      <c r="A2507" s="47">
        <v>44385</v>
      </c>
      <c r="B2507" s="48">
        <v>1.3785000000000001</v>
      </c>
    </row>
    <row r="2508" spans="1:2" x14ac:dyDescent="0.15">
      <c r="A2508" s="47">
        <v>44386</v>
      </c>
      <c r="B2508" s="48">
        <v>1.3898999999999999</v>
      </c>
    </row>
    <row r="2509" spans="1:2" x14ac:dyDescent="0.15">
      <c r="A2509" s="47">
        <v>44389</v>
      </c>
      <c r="B2509" s="48">
        <v>1.3879999999999999</v>
      </c>
    </row>
    <row r="2510" spans="1:2" x14ac:dyDescent="0.15">
      <c r="A2510" s="47">
        <v>44390</v>
      </c>
      <c r="B2510" s="48">
        <v>1.3808</v>
      </c>
    </row>
    <row r="2511" spans="1:2" x14ac:dyDescent="0.15">
      <c r="A2511" s="47">
        <v>44391</v>
      </c>
      <c r="B2511" s="48">
        <v>1.3855999999999999</v>
      </c>
    </row>
    <row r="2512" spans="1:2" x14ac:dyDescent="0.15">
      <c r="A2512" s="47">
        <v>44392</v>
      </c>
      <c r="B2512" s="48">
        <v>1.3828</v>
      </c>
    </row>
    <row r="2513" spans="1:2" x14ac:dyDescent="0.15">
      <c r="A2513" s="47">
        <v>44393</v>
      </c>
      <c r="B2513" s="48">
        <v>1.3772</v>
      </c>
    </row>
    <row r="2514" spans="1:2" x14ac:dyDescent="0.15">
      <c r="A2514" s="47">
        <v>44396</v>
      </c>
      <c r="B2514" s="48">
        <v>1.3672</v>
      </c>
    </row>
    <row r="2515" spans="1:2" x14ac:dyDescent="0.15">
      <c r="A2515" s="47">
        <v>44397</v>
      </c>
      <c r="B2515" s="48">
        <v>1.3626</v>
      </c>
    </row>
    <row r="2516" spans="1:2" x14ac:dyDescent="0.15">
      <c r="A2516" s="47">
        <v>44398</v>
      </c>
      <c r="B2516" s="48">
        <v>1.371</v>
      </c>
    </row>
    <row r="2517" spans="1:2" x14ac:dyDescent="0.15">
      <c r="A2517" s="47">
        <v>44399</v>
      </c>
      <c r="B2517" s="48">
        <v>1.3763000000000001</v>
      </c>
    </row>
    <row r="2518" spans="1:2" x14ac:dyDescent="0.15">
      <c r="A2518" s="47">
        <v>44400</v>
      </c>
      <c r="B2518" s="48">
        <v>1.3745000000000001</v>
      </c>
    </row>
    <row r="2519" spans="1:2" x14ac:dyDescent="0.15">
      <c r="A2519" s="47">
        <v>44403</v>
      </c>
      <c r="B2519" s="48">
        <v>1.3815999999999999</v>
      </c>
    </row>
    <row r="2520" spans="1:2" x14ac:dyDescent="0.15">
      <c r="A2520" s="47">
        <v>44404</v>
      </c>
      <c r="B2520" s="48">
        <v>1.3874</v>
      </c>
    </row>
    <row r="2521" spans="1:2" x14ac:dyDescent="0.15">
      <c r="A2521" s="47">
        <v>44405</v>
      </c>
      <c r="B2521" s="48">
        <v>1.3897999999999999</v>
      </c>
    </row>
    <row r="2522" spans="1:2" x14ac:dyDescent="0.15">
      <c r="A2522" s="47">
        <v>44406</v>
      </c>
      <c r="B2522" s="48">
        <v>1.3960999999999999</v>
      </c>
    </row>
    <row r="2523" spans="1:2" x14ac:dyDescent="0.15">
      <c r="A2523" s="47">
        <v>44407</v>
      </c>
      <c r="B2523" s="48">
        <v>1.3900999999999999</v>
      </c>
    </row>
    <row r="2524" spans="1:2" x14ac:dyDescent="0.15">
      <c r="A2524" s="47">
        <v>44410</v>
      </c>
      <c r="B2524" s="48">
        <v>1.3880999999999999</v>
      </c>
    </row>
    <row r="2525" spans="1:2" x14ac:dyDescent="0.15">
      <c r="A2525" s="47">
        <v>44411</v>
      </c>
      <c r="B2525" s="48">
        <v>1.3914</v>
      </c>
    </row>
    <row r="2526" spans="1:2" x14ac:dyDescent="0.15">
      <c r="A2526" s="47">
        <v>44412</v>
      </c>
      <c r="B2526" s="48">
        <v>1.3885000000000001</v>
      </c>
    </row>
    <row r="2527" spans="1:2" x14ac:dyDescent="0.15">
      <c r="A2527" s="47">
        <v>44413</v>
      </c>
      <c r="B2527" s="48">
        <v>1.3928</v>
      </c>
    </row>
    <row r="2528" spans="1:2" x14ac:dyDescent="0.15">
      <c r="A2528" s="47">
        <v>44414</v>
      </c>
      <c r="B2528" s="48">
        <v>1.3871</v>
      </c>
    </row>
    <row r="2529" spans="1:2" x14ac:dyDescent="0.15">
      <c r="A2529" s="47">
        <v>44417</v>
      </c>
      <c r="B2529" s="48">
        <v>1.3844000000000001</v>
      </c>
    </row>
    <row r="2530" spans="1:2" x14ac:dyDescent="0.15">
      <c r="A2530" s="47">
        <v>44418</v>
      </c>
      <c r="B2530" s="48">
        <v>1.3843000000000001</v>
      </c>
    </row>
    <row r="2531" spans="1:2" x14ac:dyDescent="0.15">
      <c r="A2531" s="47">
        <v>44419</v>
      </c>
      <c r="B2531" s="48">
        <v>1.3872</v>
      </c>
    </row>
    <row r="2532" spans="1:2" x14ac:dyDescent="0.15">
      <c r="A2532" s="47">
        <v>44420</v>
      </c>
      <c r="B2532" s="48">
        <v>1.3804000000000001</v>
      </c>
    </row>
    <row r="2533" spans="1:2" x14ac:dyDescent="0.15">
      <c r="A2533" s="47">
        <v>44421</v>
      </c>
      <c r="B2533" s="48">
        <v>1.3863000000000001</v>
      </c>
    </row>
    <row r="2534" spans="1:2" x14ac:dyDescent="0.15">
      <c r="A2534" s="47">
        <v>44424</v>
      </c>
      <c r="B2534" s="48">
        <v>1.385</v>
      </c>
    </row>
    <row r="2535" spans="1:2" x14ac:dyDescent="0.15">
      <c r="A2535" s="47">
        <v>44425</v>
      </c>
      <c r="B2535" s="48">
        <v>1.3738999999999999</v>
      </c>
    </row>
    <row r="2536" spans="1:2" x14ac:dyDescent="0.15">
      <c r="A2536" s="47">
        <v>44426</v>
      </c>
      <c r="B2536" s="48">
        <v>1.3754999999999999</v>
      </c>
    </row>
    <row r="2537" spans="1:2" x14ac:dyDescent="0.15">
      <c r="A2537" s="47">
        <v>44427</v>
      </c>
      <c r="B2537" s="48">
        <v>1.3637999999999999</v>
      </c>
    </row>
    <row r="2538" spans="1:2" x14ac:dyDescent="0.15">
      <c r="A2538" s="47">
        <v>44428</v>
      </c>
      <c r="B2538" s="48">
        <v>1.3621000000000001</v>
      </c>
    </row>
    <row r="2539" spans="1:2" x14ac:dyDescent="0.15">
      <c r="A2539" s="47">
        <v>44431</v>
      </c>
      <c r="B2539" s="48">
        <v>1.3716999999999999</v>
      </c>
    </row>
    <row r="2540" spans="1:2" x14ac:dyDescent="0.15">
      <c r="A2540" s="47">
        <v>44432</v>
      </c>
      <c r="B2540" s="48">
        <v>1.3727</v>
      </c>
    </row>
    <row r="2541" spans="1:2" x14ac:dyDescent="0.15">
      <c r="A2541" s="47">
        <v>44433</v>
      </c>
      <c r="B2541" s="48">
        <v>1.3758999999999999</v>
      </c>
    </row>
    <row r="2542" spans="1:2" x14ac:dyDescent="0.15">
      <c r="A2542" s="47">
        <v>44434</v>
      </c>
      <c r="B2542" s="48">
        <v>1.3698999999999999</v>
      </c>
    </row>
    <row r="2543" spans="1:2" x14ac:dyDescent="0.15">
      <c r="A2543" s="47">
        <v>44435</v>
      </c>
      <c r="B2543" s="48">
        <v>1.3756999999999999</v>
      </c>
    </row>
    <row r="2544" spans="1:2" x14ac:dyDescent="0.15">
      <c r="A2544" s="47">
        <v>44438</v>
      </c>
      <c r="B2544" s="48">
        <v>1.3757999999999999</v>
      </c>
    </row>
    <row r="2545" spans="1:2" x14ac:dyDescent="0.15">
      <c r="A2545" s="47">
        <v>44439</v>
      </c>
      <c r="B2545" s="48">
        <v>1.3754</v>
      </c>
    </row>
    <row r="2546" spans="1:2" x14ac:dyDescent="0.15">
      <c r="A2546" s="47">
        <v>44440</v>
      </c>
      <c r="B2546" s="48">
        <v>1.3768</v>
      </c>
    </row>
    <row r="2547" spans="1:2" x14ac:dyDescent="0.15">
      <c r="A2547" s="47">
        <v>44441</v>
      </c>
      <c r="B2547" s="48">
        <v>1.3829</v>
      </c>
    </row>
    <row r="2548" spans="1:2" x14ac:dyDescent="0.15">
      <c r="A2548" s="47">
        <v>44442</v>
      </c>
      <c r="B2548" s="48">
        <v>1.3865000000000001</v>
      </c>
    </row>
    <row r="2549" spans="1:2" x14ac:dyDescent="0.15">
      <c r="A2549" s="47">
        <v>44445</v>
      </c>
      <c r="B2549" s="48">
        <v>1.3834</v>
      </c>
    </row>
    <row r="2550" spans="1:2" x14ac:dyDescent="0.15">
      <c r="A2550" s="47">
        <v>44446</v>
      </c>
      <c r="B2550" s="48">
        <v>1.3782000000000001</v>
      </c>
    </row>
    <row r="2551" spans="1:2" x14ac:dyDescent="0.15">
      <c r="A2551" s="47">
        <v>44447</v>
      </c>
      <c r="B2551" s="48">
        <v>1.3768</v>
      </c>
    </row>
    <row r="2552" spans="1:2" x14ac:dyDescent="0.15">
      <c r="A2552" s="47">
        <v>44448</v>
      </c>
      <c r="B2552" s="48">
        <v>1.3835</v>
      </c>
    </row>
    <row r="2553" spans="1:2" x14ac:dyDescent="0.15">
      <c r="A2553" s="47">
        <v>44449</v>
      </c>
      <c r="B2553" s="48">
        <v>1.3838999999999999</v>
      </c>
    </row>
    <row r="2554" spans="1:2" x14ac:dyDescent="0.15">
      <c r="A2554" s="47">
        <v>44452</v>
      </c>
      <c r="B2554" s="48">
        <v>1.3835999999999999</v>
      </c>
    </row>
    <row r="2555" spans="1:2" x14ac:dyDescent="0.15">
      <c r="A2555" s="47">
        <v>44453</v>
      </c>
      <c r="B2555" s="48">
        <v>1.3806</v>
      </c>
    </row>
    <row r="2556" spans="1:2" x14ac:dyDescent="0.15">
      <c r="A2556" s="47">
        <v>44454</v>
      </c>
      <c r="B2556" s="48">
        <v>1.3836999999999999</v>
      </c>
    </row>
    <row r="2557" spans="1:2" x14ac:dyDescent="0.15">
      <c r="A2557" s="47">
        <v>44455</v>
      </c>
      <c r="B2557" s="48">
        <v>1.3788</v>
      </c>
    </row>
    <row r="2558" spans="1:2" x14ac:dyDescent="0.15">
      <c r="A2558" s="47">
        <v>44456</v>
      </c>
      <c r="B2558" s="48">
        <v>1.3742000000000001</v>
      </c>
    </row>
    <row r="2559" spans="1:2" x14ac:dyDescent="0.15">
      <c r="A2559" s="47">
        <v>44459</v>
      </c>
      <c r="B2559" s="48">
        <v>1.3656999999999999</v>
      </c>
    </row>
    <row r="2560" spans="1:2" x14ac:dyDescent="0.15">
      <c r="A2560" s="47">
        <v>44460</v>
      </c>
      <c r="B2560" s="48">
        <v>1.3658999999999999</v>
      </c>
    </row>
    <row r="2561" spans="1:2" x14ac:dyDescent="0.15">
      <c r="A2561" s="47">
        <v>44461</v>
      </c>
      <c r="B2561" s="48">
        <v>1.3625</v>
      </c>
    </row>
    <row r="2562" spans="1:2" x14ac:dyDescent="0.15">
      <c r="A2562" s="47">
        <v>44462</v>
      </c>
      <c r="B2562" s="48">
        <v>1.3715999999999999</v>
      </c>
    </row>
    <row r="2563" spans="1:2" x14ac:dyDescent="0.15">
      <c r="A2563" s="47">
        <v>44463</v>
      </c>
      <c r="B2563" s="48">
        <v>1.3682000000000001</v>
      </c>
    </row>
    <row r="2564" spans="1:2" x14ac:dyDescent="0.15">
      <c r="A2564" s="47">
        <v>44466</v>
      </c>
      <c r="B2564" s="48">
        <v>1.3694999999999999</v>
      </c>
    </row>
    <row r="2565" spans="1:2" x14ac:dyDescent="0.15">
      <c r="A2565" s="47">
        <v>44467</v>
      </c>
      <c r="B2565" s="48">
        <v>1.3533999999999999</v>
      </c>
    </row>
    <row r="2566" spans="1:2" x14ac:dyDescent="0.15">
      <c r="A2566" s="47">
        <v>44468</v>
      </c>
      <c r="B2566" s="48">
        <v>1.3422000000000001</v>
      </c>
    </row>
    <row r="2567" spans="1:2" x14ac:dyDescent="0.15">
      <c r="A2567" s="47">
        <v>44469</v>
      </c>
      <c r="B2567" s="48">
        <v>1.3472</v>
      </c>
    </row>
    <row r="2568" spans="1:2" x14ac:dyDescent="0.15">
      <c r="A2568" s="47">
        <v>44470</v>
      </c>
      <c r="B2568" s="48">
        <v>1.3545</v>
      </c>
    </row>
    <row r="2569" spans="1:2" x14ac:dyDescent="0.15">
      <c r="A2569" s="47">
        <v>44473</v>
      </c>
      <c r="B2569" s="48">
        <v>1.3613</v>
      </c>
    </row>
    <row r="2570" spans="1:2" x14ac:dyDescent="0.15">
      <c r="A2570" s="47">
        <v>44474</v>
      </c>
      <c r="B2570" s="48">
        <v>1.3629</v>
      </c>
    </row>
    <row r="2571" spans="1:2" x14ac:dyDescent="0.15">
      <c r="A2571" s="47">
        <v>44475</v>
      </c>
      <c r="B2571" s="48">
        <v>1.3580000000000001</v>
      </c>
    </row>
    <row r="2572" spans="1:2" x14ac:dyDescent="0.15">
      <c r="A2572" s="47">
        <v>44476</v>
      </c>
      <c r="B2572" s="48">
        <v>1.3616999999999999</v>
      </c>
    </row>
    <row r="2573" spans="1:2" x14ac:dyDescent="0.15">
      <c r="A2573" s="47">
        <v>44477</v>
      </c>
      <c r="B2573" s="48">
        <v>1.3611</v>
      </c>
    </row>
    <row r="2574" spans="1:2" x14ac:dyDescent="0.15">
      <c r="A2574" s="47">
        <v>44480</v>
      </c>
      <c r="B2574" s="48">
        <v>1.3594999999999999</v>
      </c>
    </row>
    <row r="2575" spans="1:2" x14ac:dyDescent="0.15">
      <c r="A2575" s="47">
        <v>44481</v>
      </c>
      <c r="B2575" s="48">
        <v>1.3585</v>
      </c>
    </row>
    <row r="2576" spans="1:2" x14ac:dyDescent="0.15">
      <c r="A2576" s="47">
        <v>44482</v>
      </c>
      <c r="B2576" s="48">
        <v>1.3658999999999999</v>
      </c>
    </row>
    <row r="2577" spans="1:2" x14ac:dyDescent="0.15">
      <c r="A2577" s="47">
        <v>44483</v>
      </c>
      <c r="B2577" s="48">
        <v>1.3673</v>
      </c>
    </row>
    <row r="2578" spans="1:2" x14ac:dyDescent="0.15">
      <c r="A2578" s="47">
        <v>44484</v>
      </c>
      <c r="B2578" s="48">
        <v>1.3749</v>
      </c>
    </row>
    <row r="2579" spans="1:2" x14ac:dyDescent="0.15">
      <c r="A2579" s="47">
        <v>44487</v>
      </c>
      <c r="B2579" s="48">
        <v>1.3725000000000001</v>
      </c>
    </row>
    <row r="2580" spans="1:2" x14ac:dyDescent="0.15">
      <c r="A2580" s="47">
        <v>44488</v>
      </c>
      <c r="B2580" s="48">
        <v>1.3794999999999999</v>
      </c>
    </row>
    <row r="2581" spans="1:2" x14ac:dyDescent="0.15">
      <c r="A2581" s="47">
        <v>44489</v>
      </c>
      <c r="B2581" s="48">
        <v>1.3824000000000001</v>
      </c>
    </row>
    <row r="2582" spans="1:2" x14ac:dyDescent="0.15">
      <c r="A2582" s="47">
        <v>44490</v>
      </c>
      <c r="B2582" s="48">
        <v>1.3791</v>
      </c>
    </row>
    <row r="2583" spans="1:2" x14ac:dyDescent="0.15">
      <c r="A2583" s="47">
        <v>44491</v>
      </c>
      <c r="B2583" s="48">
        <v>1.3751</v>
      </c>
    </row>
    <row r="2584" spans="1:2" x14ac:dyDescent="0.15">
      <c r="A2584" s="47">
        <v>44494</v>
      </c>
      <c r="B2584" s="48">
        <v>1.3768</v>
      </c>
    </row>
    <row r="2585" spans="1:2" x14ac:dyDescent="0.15">
      <c r="A2585" s="47">
        <v>44495</v>
      </c>
      <c r="B2585" s="48">
        <v>1.3766</v>
      </c>
    </row>
    <row r="2586" spans="1:2" x14ac:dyDescent="0.15">
      <c r="A2586" s="47">
        <v>44496</v>
      </c>
      <c r="B2586" s="48">
        <v>1.3746</v>
      </c>
    </row>
    <row r="2587" spans="1:2" x14ac:dyDescent="0.15">
      <c r="A2587" s="47">
        <v>44497</v>
      </c>
      <c r="B2587" s="48">
        <v>1.3788</v>
      </c>
    </row>
    <row r="2588" spans="1:2" x14ac:dyDescent="0.15">
      <c r="A2588" s="47">
        <v>44498</v>
      </c>
      <c r="B2588" s="48">
        <v>1.3691</v>
      </c>
    </row>
    <row r="2589" spans="1:2" x14ac:dyDescent="0.15">
      <c r="A2589" s="47">
        <v>44501</v>
      </c>
      <c r="B2589" s="48">
        <v>1.3672</v>
      </c>
    </row>
    <row r="2590" spans="1:2" x14ac:dyDescent="0.15">
      <c r="A2590" s="47">
        <v>44502</v>
      </c>
      <c r="B2590" s="48">
        <v>1.3613999999999999</v>
      </c>
    </row>
    <row r="2591" spans="1:2" x14ac:dyDescent="0.15">
      <c r="A2591" s="47">
        <v>44503</v>
      </c>
      <c r="B2591" s="48">
        <v>1.3684000000000001</v>
      </c>
    </row>
    <row r="2592" spans="1:2" x14ac:dyDescent="0.15">
      <c r="A2592" s="47">
        <v>44504</v>
      </c>
      <c r="B2592" s="48">
        <v>1.3498000000000001</v>
      </c>
    </row>
    <row r="2593" spans="1:2" x14ac:dyDescent="0.15">
      <c r="A2593" s="47">
        <v>44505</v>
      </c>
      <c r="B2593" s="48">
        <v>1.3493999999999999</v>
      </c>
    </row>
    <row r="2594" spans="1:2" x14ac:dyDescent="0.15">
      <c r="A2594" s="47">
        <v>44508</v>
      </c>
      <c r="B2594" s="48">
        <v>1.3561000000000001</v>
      </c>
    </row>
    <row r="2595" spans="1:2" x14ac:dyDescent="0.15">
      <c r="A2595" s="47">
        <v>44509</v>
      </c>
      <c r="B2595" s="48">
        <v>1.3553999999999999</v>
      </c>
    </row>
    <row r="2596" spans="1:2" x14ac:dyDescent="0.15">
      <c r="A2596" s="47">
        <v>44510</v>
      </c>
      <c r="B2596" s="48">
        <v>1.3401000000000001</v>
      </c>
    </row>
    <row r="2597" spans="1:2" x14ac:dyDescent="0.15">
      <c r="A2597" s="47">
        <v>44511</v>
      </c>
      <c r="B2597" s="48">
        <v>1.3371</v>
      </c>
    </row>
    <row r="2598" spans="1:2" x14ac:dyDescent="0.15">
      <c r="A2598" s="47">
        <v>44512</v>
      </c>
      <c r="B2598" s="48">
        <v>1.3412999999999999</v>
      </c>
    </row>
    <row r="2599" spans="1:2" x14ac:dyDescent="0.15">
      <c r="A2599" s="47">
        <v>44515</v>
      </c>
      <c r="B2599" s="48">
        <v>1.3418000000000001</v>
      </c>
    </row>
    <row r="2600" spans="1:2" x14ac:dyDescent="0.15">
      <c r="A2600" s="47">
        <v>44516</v>
      </c>
      <c r="B2600" s="48">
        <v>1.3427</v>
      </c>
    </row>
    <row r="2601" spans="1:2" x14ac:dyDescent="0.15">
      <c r="A2601" s="47">
        <v>44517</v>
      </c>
      <c r="B2601" s="48">
        <v>1.3480000000000001</v>
      </c>
    </row>
    <row r="2602" spans="1:2" x14ac:dyDescent="0.15">
      <c r="A2602" s="47">
        <v>44518</v>
      </c>
      <c r="B2602" s="48">
        <v>1.3488</v>
      </c>
    </row>
    <row r="2603" spans="1:2" x14ac:dyDescent="0.15">
      <c r="A2603" s="47">
        <v>44519</v>
      </c>
      <c r="B2603" s="48">
        <v>1.3452</v>
      </c>
    </row>
    <row r="2604" spans="1:2" x14ac:dyDescent="0.15">
      <c r="A2604" s="47">
        <v>44522</v>
      </c>
      <c r="B2604" s="48">
        <v>1.3395999999999999</v>
      </c>
    </row>
    <row r="2605" spans="1:2" x14ac:dyDescent="0.15">
      <c r="A2605" s="47">
        <v>44523</v>
      </c>
      <c r="B2605" s="48">
        <v>1.3373999999999999</v>
      </c>
    </row>
    <row r="2606" spans="1:2" x14ac:dyDescent="0.15">
      <c r="A2606" s="47">
        <v>44524</v>
      </c>
      <c r="B2606" s="48">
        <v>1.3325</v>
      </c>
    </row>
    <row r="2607" spans="1:2" x14ac:dyDescent="0.15">
      <c r="A2607" s="47">
        <v>44525</v>
      </c>
      <c r="B2607" s="48">
        <v>1.3320000000000001</v>
      </c>
    </row>
    <row r="2608" spans="1:2" x14ac:dyDescent="0.15">
      <c r="A2608" s="47">
        <v>44526</v>
      </c>
      <c r="B2608" s="48">
        <v>1.3340000000000001</v>
      </c>
    </row>
    <row r="2609" spans="1:2" x14ac:dyDescent="0.15">
      <c r="A2609" s="47">
        <v>44529</v>
      </c>
      <c r="B2609" s="48">
        <v>1.3310999999999999</v>
      </c>
    </row>
    <row r="2610" spans="1:2" x14ac:dyDescent="0.15">
      <c r="A2610" s="47">
        <v>44530</v>
      </c>
      <c r="B2610" s="48">
        <v>1.3294999999999999</v>
      </c>
    </row>
    <row r="2611" spans="1:2" x14ac:dyDescent="0.15">
      <c r="A2611" s="47">
        <v>44531</v>
      </c>
      <c r="B2611" s="48">
        <v>1.3277000000000001</v>
      </c>
    </row>
    <row r="2612" spans="1:2" x14ac:dyDescent="0.15">
      <c r="A2612" s="47">
        <v>44532</v>
      </c>
      <c r="B2612" s="48">
        <v>1.3306</v>
      </c>
    </row>
    <row r="2613" spans="1:2" x14ac:dyDescent="0.15">
      <c r="A2613" s="47">
        <v>44533</v>
      </c>
      <c r="B2613" s="48">
        <v>1.3230999999999999</v>
      </c>
    </row>
    <row r="2614" spans="1:2" x14ac:dyDescent="0.15">
      <c r="A2614" s="47">
        <v>44536</v>
      </c>
      <c r="B2614" s="48">
        <v>1.3264</v>
      </c>
    </row>
    <row r="2615" spans="1:2" x14ac:dyDescent="0.15">
      <c r="A2615" s="47">
        <v>44537</v>
      </c>
      <c r="B2615" s="48">
        <v>1.3242</v>
      </c>
    </row>
    <row r="2616" spans="1:2" x14ac:dyDescent="0.15">
      <c r="A2616" s="47">
        <v>44538</v>
      </c>
      <c r="B2616" s="48">
        <v>1.3209</v>
      </c>
    </row>
    <row r="2617" spans="1:2" x14ac:dyDescent="0.15">
      <c r="A2617" s="47">
        <v>44539</v>
      </c>
      <c r="B2617" s="48">
        <v>1.3219000000000001</v>
      </c>
    </row>
    <row r="2618" spans="1:2" x14ac:dyDescent="0.15">
      <c r="A2618" s="47">
        <v>44540</v>
      </c>
      <c r="B2618" s="48">
        <v>1.3269</v>
      </c>
    </row>
    <row r="2619" spans="1:2" x14ac:dyDescent="0.15">
      <c r="A2619" s="47">
        <v>44543</v>
      </c>
      <c r="B2619" s="48">
        <v>1.3216000000000001</v>
      </c>
    </row>
    <row r="2620" spans="1:2" x14ac:dyDescent="0.15">
      <c r="A2620" s="47">
        <v>44544</v>
      </c>
      <c r="B2620" s="48">
        <v>1.3238000000000001</v>
      </c>
    </row>
    <row r="2621" spans="1:2" x14ac:dyDescent="0.15">
      <c r="A2621" s="47">
        <v>44545</v>
      </c>
      <c r="B2621" s="48">
        <v>1.3263</v>
      </c>
    </row>
    <row r="2622" spans="1:2" x14ac:dyDescent="0.15">
      <c r="A2622" s="47">
        <v>44546</v>
      </c>
      <c r="B2622" s="48">
        <v>1.3319000000000001</v>
      </c>
    </row>
    <row r="2623" spans="1:2" x14ac:dyDescent="0.15">
      <c r="A2623" s="47">
        <v>44547</v>
      </c>
      <c r="B2623" s="48">
        <v>1.3242</v>
      </c>
    </row>
    <row r="2624" spans="1:2" x14ac:dyDescent="0.15">
      <c r="A2624" s="47">
        <v>44550</v>
      </c>
      <c r="B2624" s="48">
        <v>1.3207</v>
      </c>
    </row>
    <row r="2625" spans="1:2" x14ac:dyDescent="0.15">
      <c r="A2625" s="47">
        <v>44551</v>
      </c>
      <c r="B2625" s="48">
        <v>1.3265</v>
      </c>
    </row>
    <row r="2626" spans="1:2" x14ac:dyDescent="0.15">
      <c r="A2626" s="47">
        <v>44552</v>
      </c>
      <c r="B2626" s="48">
        <v>1.3348</v>
      </c>
    </row>
    <row r="2627" spans="1:2" x14ac:dyDescent="0.15">
      <c r="A2627" s="47">
        <v>44553</v>
      </c>
      <c r="B2627" s="48">
        <v>1.3404</v>
      </c>
    </row>
    <row r="2628" spans="1:2" x14ac:dyDescent="0.15">
      <c r="A2628" s="47">
        <v>44554</v>
      </c>
      <c r="B2628" s="48">
        <v>1.3385</v>
      </c>
    </row>
    <row r="2629" spans="1:2" x14ac:dyDescent="0.15">
      <c r="A2629" s="47">
        <v>44557</v>
      </c>
      <c r="B2629" s="48">
        <v>1.3436999999999999</v>
      </c>
    </row>
    <row r="2630" spans="1:2" x14ac:dyDescent="0.15">
      <c r="A2630" s="47">
        <v>44558</v>
      </c>
      <c r="B2630" s="48">
        <v>1.3433999999999999</v>
      </c>
    </row>
    <row r="2631" spans="1:2" x14ac:dyDescent="0.15">
      <c r="A2631" s="47">
        <v>44559</v>
      </c>
      <c r="B2631" s="48">
        <v>1.3486</v>
      </c>
    </row>
    <row r="2632" spans="1:2" x14ac:dyDescent="0.15">
      <c r="A2632" s="47">
        <v>44560</v>
      </c>
      <c r="B2632" s="48">
        <v>1.3493999999999999</v>
      </c>
    </row>
    <row r="2633" spans="1:2" x14ac:dyDescent="0.15">
      <c r="A2633" s="49">
        <v>44561</v>
      </c>
      <c r="B2633" s="26">
        <v>1.3529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1D63-2D10-7E4C-9C43-E76DFFF28B24}">
  <dimension ref="A1:B2633"/>
  <sheetViews>
    <sheetView topLeftCell="AG54" workbookViewId="0">
      <selection activeCell="I60" sqref="I60"/>
    </sheetView>
  </sheetViews>
  <sheetFormatPr baseColWidth="10" defaultRowHeight="13" x14ac:dyDescent="0.15"/>
  <cols>
    <col min="1" max="1" width="8.1640625" bestFit="1" customWidth="1"/>
    <col min="2" max="2" width="7.83203125" customWidth="1"/>
  </cols>
  <sheetData>
    <row r="1" spans="1:2" x14ac:dyDescent="0.15">
      <c r="A1" t="s">
        <v>36</v>
      </c>
      <c r="B1" t="s">
        <v>37</v>
      </c>
    </row>
    <row r="2" spans="1:2" x14ac:dyDescent="0.15">
      <c r="A2" s="22">
        <v>40878</v>
      </c>
      <c r="B2">
        <v>1.3463000000000001</v>
      </c>
    </row>
    <row r="3" spans="1:2" x14ac:dyDescent="0.15">
      <c r="A3" s="22">
        <v>40879</v>
      </c>
      <c r="B3">
        <v>1.3402000000000001</v>
      </c>
    </row>
    <row r="4" spans="1:2" x14ac:dyDescent="0.15">
      <c r="A4" s="22">
        <v>40882</v>
      </c>
      <c r="B4">
        <v>1.3401000000000001</v>
      </c>
    </row>
    <row r="5" spans="1:2" x14ac:dyDescent="0.15">
      <c r="A5" s="22">
        <v>40883</v>
      </c>
      <c r="B5">
        <v>1.3401000000000001</v>
      </c>
    </row>
    <row r="6" spans="1:2" x14ac:dyDescent="0.15">
      <c r="A6" s="22">
        <v>40884</v>
      </c>
      <c r="B6">
        <v>1.3411999999999999</v>
      </c>
    </row>
    <row r="7" spans="1:2" x14ac:dyDescent="0.15">
      <c r="A7" s="22">
        <v>40885</v>
      </c>
      <c r="B7">
        <v>1.3345</v>
      </c>
    </row>
    <row r="8" spans="1:2" x14ac:dyDescent="0.15">
      <c r="A8" s="22">
        <v>40886</v>
      </c>
      <c r="B8">
        <v>1.3371999999999999</v>
      </c>
    </row>
    <row r="9" spans="1:2" x14ac:dyDescent="0.15">
      <c r="A9" s="22">
        <v>40889</v>
      </c>
      <c r="B9">
        <v>1.3184</v>
      </c>
    </row>
    <row r="10" spans="1:2" x14ac:dyDescent="0.15">
      <c r="A10" s="22">
        <v>40890</v>
      </c>
      <c r="B10">
        <v>1.3032999999999999</v>
      </c>
    </row>
    <row r="11" spans="1:2" x14ac:dyDescent="0.15">
      <c r="A11" s="22">
        <v>40891</v>
      </c>
      <c r="B11">
        <v>1.298</v>
      </c>
    </row>
    <row r="12" spans="1:2" x14ac:dyDescent="0.15">
      <c r="A12" s="22">
        <v>40892</v>
      </c>
      <c r="B12">
        <v>1.3015000000000001</v>
      </c>
    </row>
    <row r="13" spans="1:2" x14ac:dyDescent="0.15">
      <c r="A13" s="22">
        <v>40893</v>
      </c>
      <c r="B13">
        <v>1.3032999999999999</v>
      </c>
    </row>
    <row r="14" spans="1:2" x14ac:dyDescent="0.15">
      <c r="A14" s="22">
        <v>40896</v>
      </c>
      <c r="B14">
        <v>1.2994000000000001</v>
      </c>
    </row>
    <row r="15" spans="1:2" x14ac:dyDescent="0.15">
      <c r="A15" s="22">
        <v>40897</v>
      </c>
      <c r="B15">
        <v>1.3077000000000001</v>
      </c>
    </row>
    <row r="16" spans="1:2" x14ac:dyDescent="0.15">
      <c r="A16" s="22">
        <v>40898</v>
      </c>
      <c r="B16">
        <v>1.3044</v>
      </c>
    </row>
    <row r="17" spans="1:2" x14ac:dyDescent="0.15">
      <c r="A17" s="22">
        <v>40899</v>
      </c>
      <c r="B17">
        <v>1.3048</v>
      </c>
    </row>
    <row r="18" spans="1:2" x14ac:dyDescent="0.15">
      <c r="A18" s="22">
        <v>40900</v>
      </c>
      <c r="B18">
        <v>1.304</v>
      </c>
    </row>
    <row r="19" spans="1:2" x14ac:dyDescent="0.15">
      <c r="A19" s="22">
        <v>40903</v>
      </c>
      <c r="B19">
        <v>1.3058000000000001</v>
      </c>
    </row>
    <row r="20" spans="1:2" x14ac:dyDescent="0.15">
      <c r="A20" s="22">
        <v>40904</v>
      </c>
      <c r="B20">
        <v>1.3068</v>
      </c>
    </row>
    <row r="21" spans="1:2" x14ac:dyDescent="0.15">
      <c r="A21" s="22">
        <v>40905</v>
      </c>
      <c r="B21">
        <v>1.2935000000000001</v>
      </c>
    </row>
    <row r="22" spans="1:2" x14ac:dyDescent="0.15">
      <c r="A22" s="22">
        <v>40906</v>
      </c>
      <c r="B22">
        <v>1.2961</v>
      </c>
    </row>
    <row r="23" spans="1:2" x14ac:dyDescent="0.15">
      <c r="A23" s="22">
        <v>40907</v>
      </c>
      <c r="B23">
        <v>1.2945</v>
      </c>
    </row>
    <row r="24" spans="1:2" x14ac:dyDescent="0.15">
      <c r="A24" s="22">
        <v>40910</v>
      </c>
      <c r="B24">
        <v>1.2927999999999999</v>
      </c>
    </row>
    <row r="25" spans="1:2" x14ac:dyDescent="0.15">
      <c r="A25" s="22">
        <v>40911</v>
      </c>
      <c r="B25">
        <v>1.3049999999999999</v>
      </c>
    </row>
    <row r="26" spans="1:2" x14ac:dyDescent="0.15">
      <c r="A26" s="22">
        <v>40912</v>
      </c>
      <c r="B26">
        <v>1.294</v>
      </c>
    </row>
    <row r="27" spans="1:2" x14ac:dyDescent="0.15">
      <c r="A27" s="22">
        <v>40913</v>
      </c>
      <c r="B27">
        <v>1.278</v>
      </c>
    </row>
    <row r="28" spans="1:2" x14ac:dyDescent="0.15">
      <c r="A28" s="22">
        <v>40914</v>
      </c>
      <c r="B28">
        <v>1.272</v>
      </c>
    </row>
    <row r="29" spans="1:2" x14ac:dyDescent="0.15">
      <c r="A29" s="22">
        <v>40917</v>
      </c>
      <c r="B29">
        <v>1.2765</v>
      </c>
    </row>
    <row r="30" spans="1:2" x14ac:dyDescent="0.15">
      <c r="A30" s="22">
        <v>40918</v>
      </c>
      <c r="B30">
        <v>1.2771999999999999</v>
      </c>
    </row>
    <row r="31" spans="1:2" x14ac:dyDescent="0.15">
      <c r="A31" s="22">
        <v>40919</v>
      </c>
      <c r="B31">
        <v>1.2703</v>
      </c>
    </row>
    <row r="32" spans="1:2" x14ac:dyDescent="0.15">
      <c r="A32" s="22">
        <v>40920</v>
      </c>
      <c r="B32">
        <v>1.2825</v>
      </c>
    </row>
    <row r="33" spans="1:2" x14ac:dyDescent="0.15">
      <c r="A33" s="22">
        <v>40921</v>
      </c>
      <c r="B33">
        <v>1.2677</v>
      </c>
    </row>
    <row r="34" spans="1:2" x14ac:dyDescent="0.15">
      <c r="A34" s="22">
        <v>40924</v>
      </c>
      <c r="B34">
        <v>1.2661</v>
      </c>
    </row>
    <row r="35" spans="1:2" x14ac:dyDescent="0.15">
      <c r="A35" s="22">
        <v>40925</v>
      </c>
      <c r="B35">
        <v>1.2737000000000001</v>
      </c>
    </row>
    <row r="36" spans="1:2" x14ac:dyDescent="0.15">
      <c r="A36" s="22">
        <v>40926</v>
      </c>
      <c r="B36">
        <v>1.2854000000000001</v>
      </c>
    </row>
    <row r="37" spans="1:2" x14ac:dyDescent="0.15">
      <c r="A37" s="22">
        <v>40927</v>
      </c>
      <c r="B37">
        <v>1.2964</v>
      </c>
    </row>
    <row r="38" spans="1:2" x14ac:dyDescent="0.15">
      <c r="A38" s="22">
        <v>40928</v>
      </c>
      <c r="B38">
        <v>1.2937000000000001</v>
      </c>
    </row>
    <row r="39" spans="1:2" x14ac:dyDescent="0.15">
      <c r="A39" s="22">
        <v>40931</v>
      </c>
      <c r="B39">
        <v>1.3028</v>
      </c>
    </row>
    <row r="40" spans="1:2" x14ac:dyDescent="0.15">
      <c r="A40" s="22">
        <v>40932</v>
      </c>
      <c r="B40">
        <v>1.3021</v>
      </c>
    </row>
    <row r="41" spans="1:2" x14ac:dyDescent="0.15">
      <c r="A41" s="22">
        <v>40933</v>
      </c>
      <c r="B41">
        <v>1.3109</v>
      </c>
    </row>
    <row r="42" spans="1:2" x14ac:dyDescent="0.15">
      <c r="A42" s="22">
        <v>40934</v>
      </c>
      <c r="B42">
        <v>1.3097000000000001</v>
      </c>
    </row>
    <row r="43" spans="1:2" x14ac:dyDescent="0.15">
      <c r="A43" s="22">
        <v>40935</v>
      </c>
      <c r="B43">
        <v>1.3224</v>
      </c>
    </row>
    <row r="44" spans="1:2" x14ac:dyDescent="0.15">
      <c r="A44" s="22">
        <v>40938</v>
      </c>
      <c r="B44">
        <v>1.3125</v>
      </c>
    </row>
    <row r="45" spans="1:2" x14ac:dyDescent="0.15">
      <c r="A45" s="22">
        <v>40939</v>
      </c>
      <c r="B45">
        <v>1.3078000000000001</v>
      </c>
    </row>
    <row r="46" spans="1:2" x14ac:dyDescent="0.15">
      <c r="A46" s="22">
        <v>40940</v>
      </c>
      <c r="B46">
        <v>1.3158000000000001</v>
      </c>
    </row>
    <row r="47" spans="1:2" x14ac:dyDescent="0.15">
      <c r="A47" s="22">
        <v>40941</v>
      </c>
      <c r="B47">
        <v>1.3145</v>
      </c>
    </row>
    <row r="48" spans="1:2" x14ac:dyDescent="0.15">
      <c r="A48" s="22">
        <v>40942</v>
      </c>
      <c r="B48">
        <v>1.3143</v>
      </c>
    </row>
    <row r="49" spans="1:2" x14ac:dyDescent="0.15">
      <c r="A49" s="22">
        <v>40945</v>
      </c>
      <c r="B49">
        <v>1.3130999999999999</v>
      </c>
    </row>
    <row r="50" spans="1:2" x14ac:dyDescent="0.15">
      <c r="A50" s="22">
        <v>40946</v>
      </c>
      <c r="B50">
        <v>1.3264</v>
      </c>
    </row>
    <row r="51" spans="1:2" x14ac:dyDescent="0.15">
      <c r="A51" s="22">
        <v>40947</v>
      </c>
      <c r="B51">
        <v>1.3257000000000001</v>
      </c>
    </row>
    <row r="52" spans="1:2" x14ac:dyDescent="0.15">
      <c r="A52" s="22">
        <v>40948</v>
      </c>
      <c r="B52">
        <v>1.3281000000000001</v>
      </c>
    </row>
    <row r="53" spans="1:2" x14ac:dyDescent="0.15">
      <c r="A53" s="22">
        <v>40949</v>
      </c>
      <c r="B53">
        <v>1.3172999999999999</v>
      </c>
    </row>
    <row r="54" spans="1:2" x14ac:dyDescent="0.15">
      <c r="A54" s="22">
        <v>40952</v>
      </c>
      <c r="B54">
        <v>1.3192999999999999</v>
      </c>
    </row>
    <row r="55" spans="1:2" x14ac:dyDescent="0.15">
      <c r="A55" s="22">
        <v>40953</v>
      </c>
      <c r="B55">
        <v>1.3118000000000001</v>
      </c>
    </row>
    <row r="56" spans="1:2" x14ac:dyDescent="0.15">
      <c r="A56" s="22">
        <v>40954</v>
      </c>
      <c r="B56">
        <v>1.3069999999999999</v>
      </c>
    </row>
    <row r="57" spans="1:2" x14ac:dyDescent="0.15">
      <c r="A57" s="22">
        <v>40955</v>
      </c>
      <c r="B57">
        <v>1.3139000000000001</v>
      </c>
    </row>
    <row r="58" spans="1:2" x14ac:dyDescent="0.15">
      <c r="A58" s="22">
        <v>40956</v>
      </c>
      <c r="B58">
        <v>1.3150999999999999</v>
      </c>
    </row>
    <row r="59" spans="1:2" x14ac:dyDescent="0.15">
      <c r="A59" s="22">
        <v>40959</v>
      </c>
      <c r="B59">
        <v>1.3239000000000001</v>
      </c>
    </row>
    <row r="60" spans="1:2" x14ac:dyDescent="0.15">
      <c r="A60" s="22">
        <v>40960</v>
      </c>
      <c r="B60">
        <v>1.3239000000000001</v>
      </c>
    </row>
    <row r="61" spans="1:2" x14ac:dyDescent="0.15">
      <c r="A61" s="22">
        <v>40961</v>
      </c>
      <c r="B61">
        <v>1.3243</v>
      </c>
    </row>
    <row r="62" spans="1:2" x14ac:dyDescent="0.15">
      <c r="A62" s="22">
        <v>40962</v>
      </c>
      <c r="B62">
        <v>1.3367</v>
      </c>
    </row>
    <row r="63" spans="1:2" x14ac:dyDescent="0.15">
      <c r="A63" s="22">
        <v>40963</v>
      </c>
      <c r="B63">
        <v>1.3453999999999999</v>
      </c>
    </row>
    <row r="64" spans="1:2" x14ac:dyDescent="0.15">
      <c r="A64" s="22">
        <v>40966</v>
      </c>
      <c r="B64">
        <v>1.3399000000000001</v>
      </c>
    </row>
    <row r="65" spans="1:2" x14ac:dyDescent="0.15">
      <c r="A65" s="22">
        <v>40967</v>
      </c>
      <c r="B65">
        <v>1.3469</v>
      </c>
    </row>
    <row r="66" spans="1:2" x14ac:dyDescent="0.15">
      <c r="A66" s="22">
        <v>40968</v>
      </c>
      <c r="B66">
        <v>1.3324</v>
      </c>
    </row>
    <row r="67" spans="1:2" x14ac:dyDescent="0.15">
      <c r="A67" s="22">
        <v>40969</v>
      </c>
      <c r="B67">
        <v>1.3310999999999999</v>
      </c>
    </row>
    <row r="68" spans="1:2" x14ac:dyDescent="0.15">
      <c r="A68" s="22">
        <v>40970</v>
      </c>
      <c r="B68">
        <v>1.3201000000000001</v>
      </c>
    </row>
    <row r="69" spans="1:2" x14ac:dyDescent="0.15">
      <c r="A69" s="22">
        <v>40973</v>
      </c>
      <c r="B69">
        <v>1.3218000000000001</v>
      </c>
    </row>
    <row r="70" spans="1:2" x14ac:dyDescent="0.15">
      <c r="A70" s="22">
        <v>40974</v>
      </c>
      <c r="B70">
        <v>1.3113999999999999</v>
      </c>
    </row>
    <row r="71" spans="1:2" x14ac:dyDescent="0.15">
      <c r="A71" s="22">
        <v>40975</v>
      </c>
      <c r="B71">
        <v>1.3149</v>
      </c>
    </row>
    <row r="72" spans="1:2" x14ac:dyDescent="0.15">
      <c r="A72" s="22">
        <v>40976</v>
      </c>
      <c r="B72">
        <v>1.327</v>
      </c>
    </row>
    <row r="73" spans="1:2" x14ac:dyDescent="0.15">
      <c r="A73" s="22">
        <v>40977</v>
      </c>
      <c r="B73">
        <v>1.3112999999999999</v>
      </c>
    </row>
    <row r="74" spans="1:2" x14ac:dyDescent="0.15">
      <c r="A74" s="22">
        <v>40980</v>
      </c>
      <c r="B74">
        <v>1.3152999999999999</v>
      </c>
    </row>
    <row r="75" spans="1:2" x14ac:dyDescent="0.15">
      <c r="A75" s="22">
        <v>40981</v>
      </c>
      <c r="B75">
        <v>1.3082</v>
      </c>
    </row>
    <row r="76" spans="1:2" x14ac:dyDescent="0.15">
      <c r="A76" s="22">
        <v>40982</v>
      </c>
      <c r="B76">
        <v>1.3027</v>
      </c>
    </row>
    <row r="77" spans="1:2" x14ac:dyDescent="0.15">
      <c r="A77" s="22">
        <v>40983</v>
      </c>
      <c r="B77">
        <v>1.3082</v>
      </c>
    </row>
    <row r="78" spans="1:2" x14ac:dyDescent="0.15">
      <c r="A78" s="22">
        <v>40984</v>
      </c>
      <c r="B78">
        <v>1.3172999999999999</v>
      </c>
    </row>
    <row r="79" spans="1:2" x14ac:dyDescent="0.15">
      <c r="A79" s="22">
        <v>40987</v>
      </c>
      <c r="B79">
        <v>1.3240000000000001</v>
      </c>
    </row>
    <row r="80" spans="1:2" x14ac:dyDescent="0.15">
      <c r="A80" s="22">
        <v>40988</v>
      </c>
      <c r="B80">
        <v>1.3224</v>
      </c>
    </row>
    <row r="81" spans="1:2" x14ac:dyDescent="0.15">
      <c r="A81" s="22">
        <v>40989</v>
      </c>
      <c r="B81">
        <v>1.3210999999999999</v>
      </c>
    </row>
    <row r="82" spans="1:2" x14ac:dyDescent="0.15">
      <c r="A82" s="22">
        <v>40990</v>
      </c>
      <c r="B82">
        <v>1.3196000000000001</v>
      </c>
    </row>
    <row r="83" spans="1:2" x14ac:dyDescent="0.15">
      <c r="A83" s="22">
        <v>40991</v>
      </c>
      <c r="B83">
        <v>1.3270999999999999</v>
      </c>
    </row>
    <row r="84" spans="1:2" x14ac:dyDescent="0.15">
      <c r="A84" s="22">
        <v>40994</v>
      </c>
      <c r="B84">
        <v>1.3357000000000001</v>
      </c>
    </row>
    <row r="85" spans="1:2" x14ac:dyDescent="0.15">
      <c r="A85" s="22">
        <v>40995</v>
      </c>
      <c r="B85">
        <v>1.3317000000000001</v>
      </c>
    </row>
    <row r="86" spans="1:2" x14ac:dyDescent="0.15">
      <c r="A86" s="22">
        <v>40996</v>
      </c>
      <c r="B86">
        <v>1.3313999999999999</v>
      </c>
    </row>
    <row r="87" spans="1:2" x14ac:dyDescent="0.15">
      <c r="A87" s="22">
        <v>40997</v>
      </c>
      <c r="B87">
        <v>1.3301000000000001</v>
      </c>
    </row>
    <row r="88" spans="1:2" x14ac:dyDescent="0.15">
      <c r="A88" s="22">
        <v>40998</v>
      </c>
      <c r="B88">
        <v>1.3343</v>
      </c>
    </row>
    <row r="89" spans="1:2" x14ac:dyDescent="0.15">
      <c r="A89" s="22">
        <v>41001</v>
      </c>
      <c r="B89">
        <v>1.3321000000000001</v>
      </c>
    </row>
    <row r="90" spans="1:2" x14ac:dyDescent="0.15">
      <c r="A90" s="22">
        <v>41002</v>
      </c>
      <c r="B90">
        <v>1.3232999999999999</v>
      </c>
    </row>
    <row r="91" spans="1:2" x14ac:dyDescent="0.15">
      <c r="A91" s="22">
        <v>41003</v>
      </c>
      <c r="B91">
        <v>1.3141</v>
      </c>
    </row>
    <row r="92" spans="1:2" x14ac:dyDescent="0.15">
      <c r="A92" s="22">
        <v>41004</v>
      </c>
      <c r="B92">
        <v>1.3063</v>
      </c>
    </row>
    <row r="93" spans="1:2" x14ac:dyDescent="0.15">
      <c r="A93" s="22">
        <v>41005</v>
      </c>
      <c r="B93">
        <v>1.3093999999999999</v>
      </c>
    </row>
    <row r="94" spans="1:2" x14ac:dyDescent="0.15">
      <c r="A94" s="22">
        <v>41008</v>
      </c>
      <c r="B94">
        <v>1.31</v>
      </c>
    </row>
    <row r="95" spans="1:2" x14ac:dyDescent="0.15">
      <c r="A95" s="22">
        <v>41009</v>
      </c>
      <c r="B95">
        <v>1.3080000000000001</v>
      </c>
    </row>
    <row r="96" spans="1:2" x14ac:dyDescent="0.15">
      <c r="A96" s="22">
        <v>41010</v>
      </c>
      <c r="B96">
        <v>1.3109</v>
      </c>
    </row>
    <row r="97" spans="1:2" x14ac:dyDescent="0.15">
      <c r="A97" s="22">
        <v>41011</v>
      </c>
      <c r="B97">
        <v>1.3185</v>
      </c>
    </row>
    <row r="98" spans="1:2" x14ac:dyDescent="0.15">
      <c r="A98" s="22">
        <v>41012</v>
      </c>
      <c r="B98">
        <v>1.3075000000000001</v>
      </c>
    </row>
    <row r="99" spans="1:2" x14ac:dyDescent="0.15">
      <c r="A99" s="22">
        <v>41015</v>
      </c>
      <c r="B99">
        <v>1.3138000000000001</v>
      </c>
    </row>
    <row r="100" spans="1:2" x14ac:dyDescent="0.15">
      <c r="A100" s="22">
        <v>41016</v>
      </c>
      <c r="B100">
        <v>1.3123</v>
      </c>
    </row>
    <row r="101" spans="1:2" x14ac:dyDescent="0.15">
      <c r="A101" s="22">
        <v>41017</v>
      </c>
      <c r="B101">
        <v>1.3120000000000001</v>
      </c>
    </row>
    <row r="102" spans="1:2" x14ac:dyDescent="0.15">
      <c r="A102" s="22">
        <v>41018</v>
      </c>
      <c r="B102">
        <v>1.3133999999999999</v>
      </c>
    </row>
    <row r="103" spans="1:2" x14ac:dyDescent="0.15">
      <c r="A103" s="22">
        <v>41019</v>
      </c>
      <c r="B103">
        <v>1.3221000000000001</v>
      </c>
    </row>
    <row r="104" spans="1:2" x14ac:dyDescent="0.15">
      <c r="A104" s="22">
        <v>41022</v>
      </c>
      <c r="B104">
        <v>1.3153999999999999</v>
      </c>
    </row>
    <row r="105" spans="1:2" x14ac:dyDescent="0.15">
      <c r="A105" s="22">
        <v>41023</v>
      </c>
      <c r="B105">
        <v>1.3193999999999999</v>
      </c>
    </row>
    <row r="106" spans="1:2" x14ac:dyDescent="0.15">
      <c r="A106" s="22">
        <v>41024</v>
      </c>
      <c r="B106">
        <v>1.3222</v>
      </c>
    </row>
    <row r="107" spans="1:2" x14ac:dyDescent="0.15">
      <c r="A107" s="22">
        <v>41025</v>
      </c>
      <c r="B107">
        <v>1.3208</v>
      </c>
    </row>
    <row r="108" spans="1:2" x14ac:dyDescent="0.15">
      <c r="A108" s="22">
        <v>41026</v>
      </c>
      <c r="B108">
        <v>1.3251999999999999</v>
      </c>
    </row>
    <row r="109" spans="1:2" x14ac:dyDescent="0.15">
      <c r="A109" s="22">
        <v>41029</v>
      </c>
      <c r="B109">
        <v>1.3240000000000001</v>
      </c>
    </row>
    <row r="110" spans="1:2" x14ac:dyDescent="0.15">
      <c r="A110" s="22">
        <v>41030</v>
      </c>
      <c r="B110">
        <v>1.3236000000000001</v>
      </c>
    </row>
    <row r="111" spans="1:2" x14ac:dyDescent="0.15">
      <c r="A111" s="22">
        <v>41031</v>
      </c>
      <c r="B111">
        <v>1.3154999999999999</v>
      </c>
    </row>
    <row r="112" spans="1:2" x14ac:dyDescent="0.15">
      <c r="A112" s="22">
        <v>41032</v>
      </c>
      <c r="B112">
        <v>1.3149999999999999</v>
      </c>
    </row>
    <row r="113" spans="1:2" x14ac:dyDescent="0.15">
      <c r="A113" s="22">
        <v>41033</v>
      </c>
      <c r="B113">
        <v>1.3082</v>
      </c>
    </row>
    <row r="114" spans="1:2" x14ac:dyDescent="0.15">
      <c r="A114" s="22">
        <v>41036</v>
      </c>
      <c r="B114">
        <v>1.3051999999999999</v>
      </c>
    </row>
    <row r="115" spans="1:2" x14ac:dyDescent="0.15">
      <c r="A115" s="22">
        <v>41037</v>
      </c>
      <c r="B115">
        <v>1.3002</v>
      </c>
    </row>
    <row r="116" spans="1:2" x14ac:dyDescent="0.15">
      <c r="A116" s="22">
        <v>41038</v>
      </c>
      <c r="B116">
        <v>1.2931999999999999</v>
      </c>
    </row>
    <row r="117" spans="1:2" x14ac:dyDescent="0.15">
      <c r="A117" s="22">
        <v>41039</v>
      </c>
      <c r="B117">
        <v>1.2935000000000001</v>
      </c>
    </row>
    <row r="118" spans="1:2" x14ac:dyDescent="0.15">
      <c r="A118" s="22">
        <v>41040</v>
      </c>
      <c r="B118">
        <v>1.2915000000000001</v>
      </c>
    </row>
    <row r="119" spans="1:2" x14ac:dyDescent="0.15">
      <c r="A119" s="22">
        <v>41043</v>
      </c>
      <c r="B119">
        <v>1.2825</v>
      </c>
    </row>
    <row r="120" spans="1:2" x14ac:dyDescent="0.15">
      <c r="A120" s="22">
        <v>41044</v>
      </c>
      <c r="B120">
        <v>1.2729999999999999</v>
      </c>
    </row>
    <row r="121" spans="1:2" x14ac:dyDescent="0.15">
      <c r="A121" s="22">
        <v>41045</v>
      </c>
      <c r="B121">
        <v>1.2715000000000001</v>
      </c>
    </row>
    <row r="122" spans="1:2" x14ac:dyDescent="0.15">
      <c r="A122" s="22">
        <v>41046</v>
      </c>
      <c r="B122">
        <v>1.2693000000000001</v>
      </c>
    </row>
    <row r="123" spans="1:2" x14ac:dyDescent="0.15">
      <c r="A123" s="22">
        <v>41047</v>
      </c>
      <c r="B123">
        <v>1.2782</v>
      </c>
    </row>
    <row r="124" spans="1:2" x14ac:dyDescent="0.15">
      <c r="A124" s="22">
        <v>41050</v>
      </c>
      <c r="B124">
        <v>1.2811999999999999</v>
      </c>
    </row>
    <row r="125" spans="1:2" x14ac:dyDescent="0.15">
      <c r="A125" s="22">
        <v>41051</v>
      </c>
      <c r="B125">
        <v>1.2682</v>
      </c>
    </row>
    <row r="126" spans="1:2" x14ac:dyDescent="0.15">
      <c r="A126" s="22">
        <v>41052</v>
      </c>
      <c r="B126">
        <v>1.2584</v>
      </c>
    </row>
    <row r="127" spans="1:2" x14ac:dyDescent="0.15">
      <c r="A127" s="22">
        <v>41053</v>
      </c>
      <c r="B127">
        <v>1.2535000000000001</v>
      </c>
    </row>
    <row r="128" spans="1:2" x14ac:dyDescent="0.15">
      <c r="A128" s="22">
        <v>41054</v>
      </c>
      <c r="B128">
        <v>1.2515000000000001</v>
      </c>
    </row>
    <row r="129" spans="1:2" x14ac:dyDescent="0.15">
      <c r="A129" s="22">
        <v>41057</v>
      </c>
      <c r="B129">
        <v>1.254</v>
      </c>
    </row>
    <row r="130" spans="1:2" x14ac:dyDescent="0.15">
      <c r="A130" s="22">
        <v>41058</v>
      </c>
      <c r="B130">
        <v>1.2496</v>
      </c>
    </row>
    <row r="131" spans="1:2" x14ac:dyDescent="0.15">
      <c r="A131" s="22">
        <v>41059</v>
      </c>
      <c r="B131">
        <v>1.2370000000000001</v>
      </c>
    </row>
    <row r="132" spans="1:2" x14ac:dyDescent="0.15">
      <c r="A132" s="22">
        <v>41060</v>
      </c>
      <c r="B132">
        <v>1.2356</v>
      </c>
    </row>
    <row r="133" spans="1:2" x14ac:dyDescent="0.15">
      <c r="A133" s="22">
        <v>41061</v>
      </c>
      <c r="B133">
        <v>1.2432000000000001</v>
      </c>
    </row>
    <row r="134" spans="1:2" x14ac:dyDescent="0.15">
      <c r="A134" s="22">
        <v>41064</v>
      </c>
      <c r="B134">
        <v>1.2495000000000001</v>
      </c>
    </row>
    <row r="135" spans="1:2" x14ac:dyDescent="0.15">
      <c r="A135" s="22">
        <v>41065</v>
      </c>
      <c r="B135">
        <v>1.2453000000000001</v>
      </c>
    </row>
    <row r="136" spans="1:2" x14ac:dyDescent="0.15">
      <c r="A136" s="22">
        <v>41066</v>
      </c>
      <c r="B136">
        <v>1.2571000000000001</v>
      </c>
    </row>
    <row r="137" spans="1:2" x14ac:dyDescent="0.15">
      <c r="A137" s="22">
        <v>41067</v>
      </c>
      <c r="B137">
        <v>1.256</v>
      </c>
    </row>
    <row r="138" spans="1:2" x14ac:dyDescent="0.15">
      <c r="A138" s="22">
        <v>41068</v>
      </c>
      <c r="B138">
        <v>1.2516</v>
      </c>
    </row>
    <row r="139" spans="1:2" x14ac:dyDescent="0.15">
      <c r="A139" s="22">
        <v>41071</v>
      </c>
      <c r="B139">
        <v>1.2475000000000001</v>
      </c>
    </row>
    <row r="140" spans="1:2" x14ac:dyDescent="0.15">
      <c r="A140" s="22">
        <v>41072</v>
      </c>
      <c r="B140">
        <v>1.2512000000000001</v>
      </c>
    </row>
    <row r="141" spans="1:2" x14ac:dyDescent="0.15">
      <c r="A141" s="22">
        <v>41073</v>
      </c>
      <c r="B141">
        <v>1.2555000000000001</v>
      </c>
    </row>
    <row r="142" spans="1:2" x14ac:dyDescent="0.15">
      <c r="A142" s="22">
        <v>41074</v>
      </c>
      <c r="B142">
        <v>1.2629999999999999</v>
      </c>
    </row>
    <row r="143" spans="1:2" x14ac:dyDescent="0.15">
      <c r="A143" s="22">
        <v>41075</v>
      </c>
      <c r="B143">
        <v>1.2636000000000001</v>
      </c>
    </row>
    <row r="144" spans="1:2" x14ac:dyDescent="0.15">
      <c r="A144" s="22">
        <v>41078</v>
      </c>
      <c r="B144">
        <v>1.2575000000000001</v>
      </c>
    </row>
    <row r="145" spans="1:2" x14ac:dyDescent="0.15">
      <c r="A145" s="22">
        <v>41079</v>
      </c>
      <c r="B145">
        <v>1.2686999999999999</v>
      </c>
    </row>
    <row r="146" spans="1:2" x14ac:dyDescent="0.15">
      <c r="A146" s="22">
        <v>41080</v>
      </c>
      <c r="B146">
        <v>1.2704</v>
      </c>
    </row>
    <row r="147" spans="1:2" x14ac:dyDescent="0.15">
      <c r="A147" s="22">
        <v>41081</v>
      </c>
      <c r="B147">
        <v>1.2541</v>
      </c>
    </row>
    <row r="148" spans="1:2" x14ac:dyDescent="0.15">
      <c r="A148" s="22">
        <v>41082</v>
      </c>
      <c r="B148">
        <v>1.2567999999999999</v>
      </c>
    </row>
    <row r="149" spans="1:2" x14ac:dyDescent="0.15">
      <c r="A149" s="22">
        <v>41085</v>
      </c>
      <c r="B149">
        <v>1.2503</v>
      </c>
    </row>
    <row r="150" spans="1:2" x14ac:dyDescent="0.15">
      <c r="A150" s="22">
        <v>41086</v>
      </c>
      <c r="B150">
        <v>1.2488999999999999</v>
      </c>
    </row>
    <row r="151" spans="1:2" x14ac:dyDescent="0.15">
      <c r="A151" s="22">
        <v>41087</v>
      </c>
      <c r="B151">
        <v>1.2468999999999999</v>
      </c>
    </row>
    <row r="152" spans="1:2" x14ac:dyDescent="0.15">
      <c r="A152" s="22">
        <v>41088</v>
      </c>
      <c r="B152">
        <v>1.2438</v>
      </c>
    </row>
    <row r="153" spans="1:2" x14ac:dyDescent="0.15">
      <c r="A153" s="22">
        <v>41089</v>
      </c>
      <c r="B153">
        <v>1.2658</v>
      </c>
    </row>
    <row r="154" spans="1:2" x14ac:dyDescent="0.15">
      <c r="A154" s="22">
        <v>41092</v>
      </c>
      <c r="B154">
        <v>1.2585</v>
      </c>
    </row>
    <row r="155" spans="1:2" x14ac:dyDescent="0.15">
      <c r="A155" s="22">
        <v>41093</v>
      </c>
      <c r="B155">
        <v>1.2605</v>
      </c>
    </row>
    <row r="156" spans="1:2" x14ac:dyDescent="0.15">
      <c r="A156" s="22">
        <v>41094</v>
      </c>
      <c r="B156">
        <v>1.2522</v>
      </c>
    </row>
    <row r="157" spans="1:2" x14ac:dyDescent="0.15">
      <c r="A157" s="22">
        <v>41095</v>
      </c>
      <c r="B157">
        <v>1.2392000000000001</v>
      </c>
    </row>
    <row r="158" spans="1:2" x14ac:dyDescent="0.15">
      <c r="A158" s="22">
        <v>41096</v>
      </c>
      <c r="B158">
        <v>1.2286999999999999</v>
      </c>
    </row>
    <row r="159" spans="1:2" x14ac:dyDescent="0.15">
      <c r="A159" s="22">
        <v>41099</v>
      </c>
      <c r="B159">
        <v>1.2318</v>
      </c>
    </row>
    <row r="160" spans="1:2" x14ac:dyDescent="0.15">
      <c r="A160" s="22">
        <v>41100</v>
      </c>
      <c r="B160">
        <v>1.2249000000000001</v>
      </c>
    </row>
    <row r="161" spans="1:2" x14ac:dyDescent="0.15">
      <c r="A161" s="22">
        <v>41101</v>
      </c>
      <c r="B161">
        <v>1.2237</v>
      </c>
    </row>
    <row r="162" spans="1:2" x14ac:dyDescent="0.15">
      <c r="A162" s="22">
        <v>41102</v>
      </c>
      <c r="B162">
        <v>1.2196</v>
      </c>
    </row>
    <row r="163" spans="1:2" x14ac:dyDescent="0.15">
      <c r="A163" s="22">
        <v>41103</v>
      </c>
      <c r="B163">
        <v>1.2250000000000001</v>
      </c>
    </row>
    <row r="164" spans="1:2" x14ac:dyDescent="0.15">
      <c r="A164" s="22">
        <v>41106</v>
      </c>
      <c r="B164">
        <v>1.2272000000000001</v>
      </c>
    </row>
    <row r="165" spans="1:2" x14ac:dyDescent="0.15">
      <c r="A165" s="22">
        <v>41107</v>
      </c>
      <c r="B165">
        <v>1.2293000000000001</v>
      </c>
    </row>
    <row r="166" spans="1:2" x14ac:dyDescent="0.15">
      <c r="A166" s="22">
        <v>41108</v>
      </c>
      <c r="B166">
        <v>1.2282999999999999</v>
      </c>
    </row>
    <row r="167" spans="1:2" x14ac:dyDescent="0.15">
      <c r="A167" s="22">
        <v>41109</v>
      </c>
      <c r="B167">
        <v>1.2279</v>
      </c>
    </row>
    <row r="168" spans="1:2" x14ac:dyDescent="0.15">
      <c r="A168" s="22">
        <v>41110</v>
      </c>
      <c r="B168">
        <v>1.2156</v>
      </c>
    </row>
    <row r="169" spans="1:2" x14ac:dyDescent="0.15">
      <c r="A169" s="22">
        <v>41113</v>
      </c>
      <c r="B169">
        <v>1.2114</v>
      </c>
    </row>
    <row r="170" spans="1:2" x14ac:dyDescent="0.15">
      <c r="A170" s="22">
        <v>41114</v>
      </c>
      <c r="B170">
        <v>1.2059</v>
      </c>
    </row>
    <row r="171" spans="1:2" x14ac:dyDescent="0.15">
      <c r="A171" s="22">
        <v>41115</v>
      </c>
      <c r="B171">
        <v>1.2156</v>
      </c>
    </row>
    <row r="172" spans="1:2" x14ac:dyDescent="0.15">
      <c r="A172" s="22">
        <v>41116</v>
      </c>
      <c r="B172">
        <v>1.2281</v>
      </c>
    </row>
    <row r="173" spans="1:2" x14ac:dyDescent="0.15">
      <c r="A173" s="22">
        <v>41117</v>
      </c>
      <c r="B173">
        <v>1.2317</v>
      </c>
    </row>
    <row r="174" spans="1:2" x14ac:dyDescent="0.15">
      <c r="A174" s="22">
        <v>41120</v>
      </c>
      <c r="B174">
        <v>1.226</v>
      </c>
    </row>
    <row r="175" spans="1:2" x14ac:dyDescent="0.15">
      <c r="A175" s="22">
        <v>41121</v>
      </c>
      <c r="B175">
        <v>1.2302999999999999</v>
      </c>
    </row>
    <row r="176" spans="1:2" x14ac:dyDescent="0.15">
      <c r="A176" s="22">
        <v>41122</v>
      </c>
      <c r="B176">
        <v>1.2223999999999999</v>
      </c>
    </row>
    <row r="177" spans="1:2" x14ac:dyDescent="0.15">
      <c r="A177" s="22">
        <v>41123</v>
      </c>
      <c r="B177">
        <v>1.218</v>
      </c>
    </row>
    <row r="178" spans="1:2" x14ac:dyDescent="0.15">
      <c r="A178" s="22">
        <v>41124</v>
      </c>
      <c r="B178">
        <v>1.2384999999999999</v>
      </c>
    </row>
    <row r="179" spans="1:2" x14ac:dyDescent="0.15">
      <c r="A179" s="22">
        <v>41127</v>
      </c>
      <c r="B179">
        <v>1.24</v>
      </c>
    </row>
    <row r="180" spans="1:2" x14ac:dyDescent="0.15">
      <c r="A180" s="22">
        <v>41128</v>
      </c>
      <c r="B180">
        <v>1.24</v>
      </c>
    </row>
    <row r="181" spans="1:2" x14ac:dyDescent="0.15">
      <c r="A181" s="22">
        <v>41129</v>
      </c>
      <c r="B181">
        <v>1.2363999999999999</v>
      </c>
    </row>
    <row r="182" spans="1:2" x14ac:dyDescent="0.15">
      <c r="A182" s="22">
        <v>41130</v>
      </c>
      <c r="B182">
        <v>1.2304999999999999</v>
      </c>
    </row>
    <row r="183" spans="1:2" x14ac:dyDescent="0.15">
      <c r="A183" s="22">
        <v>41131</v>
      </c>
      <c r="B183">
        <v>1.2289000000000001</v>
      </c>
    </row>
    <row r="184" spans="1:2" x14ac:dyDescent="0.15">
      <c r="A184" s="22">
        <v>41134</v>
      </c>
      <c r="B184">
        <v>1.2331000000000001</v>
      </c>
    </row>
    <row r="185" spans="1:2" x14ac:dyDescent="0.15">
      <c r="A185" s="22">
        <v>41135</v>
      </c>
      <c r="B185">
        <v>1.2321</v>
      </c>
    </row>
    <row r="186" spans="1:2" x14ac:dyDescent="0.15">
      <c r="A186" s="22">
        <v>41136</v>
      </c>
      <c r="B186">
        <v>1.2287999999999999</v>
      </c>
    </row>
    <row r="187" spans="1:2" x14ac:dyDescent="0.15">
      <c r="A187" s="22">
        <v>41137</v>
      </c>
      <c r="B187">
        <v>1.2354000000000001</v>
      </c>
    </row>
    <row r="188" spans="1:2" x14ac:dyDescent="0.15">
      <c r="A188" s="22">
        <v>41138</v>
      </c>
      <c r="B188">
        <v>1.2333000000000001</v>
      </c>
    </row>
    <row r="189" spans="1:2" x14ac:dyDescent="0.15">
      <c r="A189" s="22">
        <v>41141</v>
      </c>
      <c r="B189">
        <v>1.2343</v>
      </c>
    </row>
    <row r="190" spans="1:2" x14ac:dyDescent="0.15">
      <c r="A190" s="22">
        <v>41142</v>
      </c>
      <c r="B190">
        <v>1.2470000000000001</v>
      </c>
    </row>
    <row r="191" spans="1:2" x14ac:dyDescent="0.15">
      <c r="A191" s="22">
        <v>41143</v>
      </c>
      <c r="B191">
        <v>1.2525999999999999</v>
      </c>
    </row>
    <row r="192" spans="1:2" x14ac:dyDescent="0.15">
      <c r="A192" s="22">
        <v>41144</v>
      </c>
      <c r="B192">
        <v>1.2562</v>
      </c>
    </row>
    <row r="193" spans="1:2" x14ac:dyDescent="0.15">
      <c r="A193" s="22">
        <v>41145</v>
      </c>
      <c r="B193">
        <v>1.2511000000000001</v>
      </c>
    </row>
    <row r="194" spans="1:2" x14ac:dyDescent="0.15">
      <c r="A194" s="22">
        <v>41148</v>
      </c>
      <c r="B194">
        <v>1.2499</v>
      </c>
    </row>
    <row r="195" spans="1:2" x14ac:dyDescent="0.15">
      <c r="A195" s="22">
        <v>41149</v>
      </c>
      <c r="B195">
        <v>1.2564</v>
      </c>
    </row>
    <row r="196" spans="1:2" x14ac:dyDescent="0.15">
      <c r="A196" s="22">
        <v>41150</v>
      </c>
      <c r="B196">
        <v>1.2528999999999999</v>
      </c>
    </row>
    <row r="197" spans="1:2" x14ac:dyDescent="0.15">
      <c r="A197" s="22">
        <v>41151</v>
      </c>
      <c r="B197">
        <v>1.2504</v>
      </c>
    </row>
    <row r="198" spans="1:2" x14ac:dyDescent="0.15">
      <c r="A198" s="22">
        <v>41152</v>
      </c>
      <c r="B198">
        <v>1.2575000000000001</v>
      </c>
    </row>
    <row r="199" spans="1:2" x14ac:dyDescent="0.15">
      <c r="A199" s="22">
        <v>41155</v>
      </c>
      <c r="B199">
        <v>1.2593000000000001</v>
      </c>
    </row>
    <row r="200" spans="1:2" x14ac:dyDescent="0.15">
      <c r="A200" s="22">
        <v>41156</v>
      </c>
      <c r="B200">
        <v>1.2564</v>
      </c>
    </row>
    <row r="201" spans="1:2" x14ac:dyDescent="0.15">
      <c r="A201" s="22">
        <v>41157</v>
      </c>
      <c r="B201">
        <v>1.2599</v>
      </c>
    </row>
    <row r="202" spans="1:2" x14ac:dyDescent="0.15">
      <c r="A202" s="22">
        <v>41158</v>
      </c>
      <c r="B202">
        <v>1.2627999999999999</v>
      </c>
    </row>
    <row r="203" spans="1:2" x14ac:dyDescent="0.15">
      <c r="A203" s="22">
        <v>41159</v>
      </c>
      <c r="B203">
        <v>1.2815000000000001</v>
      </c>
    </row>
    <row r="204" spans="1:2" x14ac:dyDescent="0.15">
      <c r="A204" s="22">
        <v>41162</v>
      </c>
      <c r="B204">
        <v>1.2757000000000001</v>
      </c>
    </row>
    <row r="205" spans="1:2" x14ac:dyDescent="0.15">
      <c r="A205" s="22">
        <v>41163</v>
      </c>
      <c r="B205">
        <v>1.2854000000000001</v>
      </c>
    </row>
    <row r="206" spans="1:2" x14ac:dyDescent="0.15">
      <c r="A206" s="22">
        <v>41164</v>
      </c>
      <c r="B206">
        <v>1.2899</v>
      </c>
    </row>
    <row r="207" spans="1:2" x14ac:dyDescent="0.15">
      <c r="A207" s="22">
        <v>41165</v>
      </c>
      <c r="B207">
        <v>1.2988</v>
      </c>
    </row>
    <row r="208" spans="1:2" x14ac:dyDescent="0.15">
      <c r="A208" s="22">
        <v>41166</v>
      </c>
      <c r="B208">
        <v>1.3124</v>
      </c>
    </row>
    <row r="209" spans="1:2" x14ac:dyDescent="0.15">
      <c r="A209" s="22">
        <v>41169</v>
      </c>
      <c r="B209">
        <v>1.3116000000000001</v>
      </c>
    </row>
    <row r="210" spans="1:2" x14ac:dyDescent="0.15">
      <c r="A210" s="22">
        <v>41170</v>
      </c>
      <c r="B210">
        <v>1.3046</v>
      </c>
    </row>
    <row r="211" spans="1:2" x14ac:dyDescent="0.15">
      <c r="A211" s="22">
        <v>41171</v>
      </c>
      <c r="B211">
        <v>1.3047</v>
      </c>
    </row>
    <row r="212" spans="1:2" x14ac:dyDescent="0.15">
      <c r="A212" s="22">
        <v>41172</v>
      </c>
      <c r="B212">
        <v>1.2968</v>
      </c>
    </row>
    <row r="213" spans="1:2" x14ac:dyDescent="0.15">
      <c r="A213" s="22">
        <v>41173</v>
      </c>
      <c r="B213">
        <v>1.2979000000000001</v>
      </c>
    </row>
    <row r="214" spans="1:2" x14ac:dyDescent="0.15">
      <c r="A214" s="22">
        <v>41176</v>
      </c>
      <c r="B214">
        <v>1.2929999999999999</v>
      </c>
    </row>
    <row r="215" spans="1:2" x14ac:dyDescent="0.15">
      <c r="A215" s="22">
        <v>41177</v>
      </c>
      <c r="B215">
        <v>1.2898000000000001</v>
      </c>
    </row>
    <row r="216" spans="1:2" x14ac:dyDescent="0.15">
      <c r="A216" s="22">
        <v>41178</v>
      </c>
      <c r="B216">
        <v>1.2870999999999999</v>
      </c>
    </row>
    <row r="217" spans="1:2" x14ac:dyDescent="0.15">
      <c r="A217" s="22">
        <v>41179</v>
      </c>
      <c r="B217">
        <v>1.2912999999999999</v>
      </c>
    </row>
    <row r="218" spans="1:2" x14ac:dyDescent="0.15">
      <c r="A218" s="22">
        <v>41180</v>
      </c>
      <c r="B218">
        <v>1.2858000000000001</v>
      </c>
    </row>
    <row r="219" spans="1:2" x14ac:dyDescent="0.15">
      <c r="A219" s="22">
        <v>41183</v>
      </c>
      <c r="B219">
        <v>1.2887999999999999</v>
      </c>
    </row>
    <row r="220" spans="1:2" x14ac:dyDescent="0.15">
      <c r="A220" s="22">
        <v>41184</v>
      </c>
      <c r="B220">
        <v>1.2918000000000001</v>
      </c>
    </row>
    <row r="221" spans="1:2" x14ac:dyDescent="0.15">
      <c r="A221" s="22">
        <v>41185</v>
      </c>
      <c r="B221">
        <v>1.2904</v>
      </c>
    </row>
    <row r="222" spans="1:2" x14ac:dyDescent="0.15">
      <c r="A222" s="22">
        <v>41186</v>
      </c>
      <c r="B222">
        <v>1.3017000000000001</v>
      </c>
    </row>
    <row r="223" spans="1:2" x14ac:dyDescent="0.15">
      <c r="A223" s="22">
        <v>41187</v>
      </c>
      <c r="B223">
        <v>1.3032999999999999</v>
      </c>
    </row>
    <row r="224" spans="1:2" x14ac:dyDescent="0.15">
      <c r="A224" s="22">
        <v>41190</v>
      </c>
      <c r="B224">
        <v>1.2968999999999999</v>
      </c>
    </row>
    <row r="225" spans="1:2" x14ac:dyDescent="0.15">
      <c r="A225" s="22">
        <v>41191</v>
      </c>
      <c r="B225">
        <v>1.2884</v>
      </c>
    </row>
    <row r="226" spans="1:2" x14ac:dyDescent="0.15">
      <c r="A226" s="22">
        <v>41192</v>
      </c>
      <c r="B226">
        <v>1.2874000000000001</v>
      </c>
    </row>
    <row r="227" spans="1:2" x14ac:dyDescent="0.15">
      <c r="A227" s="22">
        <v>41193</v>
      </c>
      <c r="B227">
        <v>1.2926</v>
      </c>
    </row>
    <row r="228" spans="1:2" x14ac:dyDescent="0.15">
      <c r="A228" s="22">
        <v>41194</v>
      </c>
      <c r="B228">
        <v>1.2949999999999999</v>
      </c>
    </row>
    <row r="229" spans="1:2" x14ac:dyDescent="0.15">
      <c r="A229" s="22">
        <v>41197</v>
      </c>
      <c r="B229">
        <v>1.2948</v>
      </c>
    </row>
    <row r="230" spans="1:2" x14ac:dyDescent="0.15">
      <c r="A230" s="22">
        <v>41198</v>
      </c>
      <c r="B230">
        <v>1.3051999999999999</v>
      </c>
    </row>
    <row r="231" spans="1:2" x14ac:dyDescent="0.15">
      <c r="A231" s="22">
        <v>41199</v>
      </c>
      <c r="B231">
        <v>1.3117000000000001</v>
      </c>
    </row>
    <row r="232" spans="1:2" x14ac:dyDescent="0.15">
      <c r="A232" s="22">
        <v>41200</v>
      </c>
      <c r="B232">
        <v>1.3065</v>
      </c>
    </row>
    <row r="233" spans="1:2" x14ac:dyDescent="0.15">
      <c r="A233" s="22">
        <v>41201</v>
      </c>
      <c r="B233">
        <v>1.3021</v>
      </c>
    </row>
    <row r="234" spans="1:2" x14ac:dyDescent="0.15">
      <c r="A234" s="22">
        <v>41204</v>
      </c>
      <c r="B234">
        <v>1.3059000000000001</v>
      </c>
    </row>
    <row r="235" spans="1:2" x14ac:dyDescent="0.15">
      <c r="A235" s="22">
        <v>41205</v>
      </c>
      <c r="B235">
        <v>1.2985</v>
      </c>
    </row>
    <row r="236" spans="1:2" x14ac:dyDescent="0.15">
      <c r="A236" s="22">
        <v>41206</v>
      </c>
      <c r="B236">
        <v>1.2970999999999999</v>
      </c>
    </row>
    <row r="237" spans="1:2" x14ac:dyDescent="0.15">
      <c r="A237" s="22">
        <v>41207</v>
      </c>
      <c r="B237">
        <v>1.2932999999999999</v>
      </c>
    </row>
    <row r="238" spans="1:2" x14ac:dyDescent="0.15">
      <c r="A238" s="22">
        <v>41208</v>
      </c>
      <c r="B238">
        <v>1.2939000000000001</v>
      </c>
    </row>
    <row r="239" spans="1:2" x14ac:dyDescent="0.15">
      <c r="A239" s="22">
        <v>41211</v>
      </c>
      <c r="B239">
        <v>1.2902</v>
      </c>
    </row>
    <row r="240" spans="1:2" x14ac:dyDescent="0.15">
      <c r="A240" s="22">
        <v>41212</v>
      </c>
      <c r="B240">
        <v>1.2956000000000001</v>
      </c>
    </row>
    <row r="241" spans="1:2" x14ac:dyDescent="0.15">
      <c r="A241" s="22">
        <v>41213</v>
      </c>
      <c r="B241">
        <v>1.2958000000000001</v>
      </c>
    </row>
    <row r="242" spans="1:2" x14ac:dyDescent="0.15">
      <c r="A242" s="22">
        <v>41214</v>
      </c>
      <c r="B242">
        <v>1.2942</v>
      </c>
    </row>
    <row r="243" spans="1:2" x14ac:dyDescent="0.15">
      <c r="A243" s="22">
        <v>41215</v>
      </c>
      <c r="B243">
        <v>1.2836000000000001</v>
      </c>
    </row>
    <row r="244" spans="1:2" x14ac:dyDescent="0.15">
      <c r="A244" s="22">
        <v>41218</v>
      </c>
      <c r="B244">
        <v>1.2795000000000001</v>
      </c>
    </row>
    <row r="245" spans="1:2" x14ac:dyDescent="0.15">
      <c r="A245" s="22">
        <v>41219</v>
      </c>
      <c r="B245">
        <v>1.2813000000000001</v>
      </c>
    </row>
    <row r="246" spans="1:2" x14ac:dyDescent="0.15">
      <c r="A246" s="22">
        <v>41220</v>
      </c>
      <c r="B246">
        <v>1.2769999999999999</v>
      </c>
    </row>
    <row r="247" spans="1:2" x14ac:dyDescent="0.15">
      <c r="A247" s="22">
        <v>41221</v>
      </c>
      <c r="B247">
        <v>1.2745</v>
      </c>
    </row>
    <row r="248" spans="1:2" x14ac:dyDescent="0.15">
      <c r="A248" s="22">
        <v>41222</v>
      </c>
      <c r="B248">
        <v>1.2707999999999999</v>
      </c>
    </row>
    <row r="249" spans="1:2" x14ac:dyDescent="0.15">
      <c r="A249" s="22">
        <v>41225</v>
      </c>
      <c r="B249">
        <v>1.2706999999999999</v>
      </c>
    </row>
    <row r="250" spans="1:2" x14ac:dyDescent="0.15">
      <c r="A250" s="22">
        <v>41226</v>
      </c>
      <c r="B250">
        <v>1.2702</v>
      </c>
    </row>
    <row r="251" spans="1:2" x14ac:dyDescent="0.15">
      <c r="A251" s="22">
        <v>41227</v>
      </c>
      <c r="B251">
        <v>1.2734000000000001</v>
      </c>
    </row>
    <row r="252" spans="1:2" x14ac:dyDescent="0.15">
      <c r="A252" s="22">
        <v>41228</v>
      </c>
      <c r="B252">
        <v>1.2778</v>
      </c>
    </row>
    <row r="253" spans="1:2" x14ac:dyDescent="0.15">
      <c r="A253" s="22">
        <v>41229</v>
      </c>
      <c r="B253">
        <v>1.2742</v>
      </c>
    </row>
    <row r="254" spans="1:2" x14ac:dyDescent="0.15">
      <c r="A254" s="22">
        <v>41232</v>
      </c>
      <c r="B254">
        <v>1.2810999999999999</v>
      </c>
    </row>
    <row r="255" spans="1:2" x14ac:dyDescent="0.15">
      <c r="A255" s="22">
        <v>41233</v>
      </c>
      <c r="B255">
        <v>1.2816000000000001</v>
      </c>
    </row>
    <row r="256" spans="1:2" x14ac:dyDescent="0.15">
      <c r="A256" s="22">
        <v>41234</v>
      </c>
      <c r="B256">
        <v>1.2827999999999999</v>
      </c>
    </row>
    <row r="257" spans="1:2" x14ac:dyDescent="0.15">
      <c r="A257" s="22">
        <v>41235</v>
      </c>
      <c r="B257">
        <v>1.2882</v>
      </c>
    </row>
    <row r="258" spans="1:2" x14ac:dyDescent="0.15">
      <c r="A258" s="22">
        <v>41236</v>
      </c>
      <c r="B258">
        <v>1.2975000000000001</v>
      </c>
    </row>
    <row r="259" spans="1:2" x14ac:dyDescent="0.15">
      <c r="A259" s="22">
        <v>41239</v>
      </c>
      <c r="B259">
        <v>1.2971999999999999</v>
      </c>
    </row>
    <row r="260" spans="1:2" x14ac:dyDescent="0.15">
      <c r="A260" s="22">
        <v>41240</v>
      </c>
      <c r="B260">
        <v>1.2944</v>
      </c>
    </row>
    <row r="261" spans="1:2" x14ac:dyDescent="0.15">
      <c r="A261" s="22">
        <v>41241</v>
      </c>
      <c r="B261">
        <v>1.2950999999999999</v>
      </c>
    </row>
    <row r="262" spans="1:2" x14ac:dyDescent="0.15">
      <c r="A262" s="22">
        <v>41242</v>
      </c>
      <c r="B262">
        <v>1.2977000000000001</v>
      </c>
    </row>
    <row r="263" spans="1:2" x14ac:dyDescent="0.15">
      <c r="A263" s="22">
        <v>41243</v>
      </c>
      <c r="B263">
        <v>1.2984</v>
      </c>
    </row>
    <row r="264" spans="1:2" x14ac:dyDescent="0.15">
      <c r="A264" s="22">
        <v>41246</v>
      </c>
      <c r="B264">
        <v>1.3052999999999999</v>
      </c>
    </row>
    <row r="265" spans="1:2" x14ac:dyDescent="0.15">
      <c r="A265" s="22">
        <v>41247</v>
      </c>
      <c r="B265">
        <v>1.3092999999999999</v>
      </c>
    </row>
    <row r="266" spans="1:2" x14ac:dyDescent="0.15">
      <c r="A266" s="22">
        <v>41248</v>
      </c>
      <c r="B266">
        <v>1.3066</v>
      </c>
    </row>
    <row r="267" spans="1:2" x14ac:dyDescent="0.15">
      <c r="A267" s="22">
        <v>41249</v>
      </c>
      <c r="B267">
        <v>1.2967</v>
      </c>
    </row>
    <row r="268" spans="1:2" x14ac:dyDescent="0.15">
      <c r="A268" s="22">
        <v>41250</v>
      </c>
      <c r="B268">
        <v>1.2924</v>
      </c>
    </row>
    <row r="269" spans="1:2" x14ac:dyDescent="0.15">
      <c r="A269" s="22">
        <v>41253</v>
      </c>
      <c r="B269">
        <v>1.294</v>
      </c>
    </row>
    <row r="270" spans="1:2" x14ac:dyDescent="0.15">
      <c r="A270" s="22">
        <v>41254</v>
      </c>
      <c r="B270">
        <v>1.3004</v>
      </c>
    </row>
    <row r="271" spans="1:2" x14ac:dyDescent="0.15">
      <c r="A271" s="22">
        <v>41255</v>
      </c>
      <c r="B271">
        <v>1.3071999999999999</v>
      </c>
    </row>
    <row r="272" spans="1:2" x14ac:dyDescent="0.15">
      <c r="A272" s="22">
        <v>41256</v>
      </c>
      <c r="B272">
        <v>1.3076000000000001</v>
      </c>
    </row>
    <row r="273" spans="1:2" x14ac:dyDescent="0.15">
      <c r="A273" s="22">
        <v>41257</v>
      </c>
      <c r="B273">
        <v>1.3161</v>
      </c>
    </row>
    <row r="274" spans="1:2" x14ac:dyDescent="0.15">
      <c r="A274" s="22">
        <v>41260</v>
      </c>
      <c r="B274">
        <v>1.3163</v>
      </c>
    </row>
    <row r="275" spans="1:2" x14ac:dyDescent="0.15">
      <c r="A275" s="22">
        <v>41261</v>
      </c>
      <c r="B275">
        <v>1.3229</v>
      </c>
    </row>
    <row r="276" spans="1:2" x14ac:dyDescent="0.15">
      <c r="A276" s="22">
        <v>41262</v>
      </c>
      <c r="B276">
        <v>1.3226</v>
      </c>
    </row>
    <row r="277" spans="1:2" x14ac:dyDescent="0.15">
      <c r="A277" s="22">
        <v>41263</v>
      </c>
      <c r="B277">
        <v>1.3242</v>
      </c>
    </row>
    <row r="278" spans="1:2" x14ac:dyDescent="0.15">
      <c r="A278" s="22">
        <v>41264</v>
      </c>
      <c r="B278">
        <v>1.3185</v>
      </c>
    </row>
    <row r="279" spans="1:2" x14ac:dyDescent="0.15">
      <c r="A279" s="22">
        <v>41267</v>
      </c>
      <c r="B279">
        <v>1.3186</v>
      </c>
    </row>
    <row r="280" spans="1:2" x14ac:dyDescent="0.15">
      <c r="A280" s="22">
        <v>41268</v>
      </c>
      <c r="B280">
        <v>1.3182</v>
      </c>
    </row>
    <row r="281" spans="1:2" x14ac:dyDescent="0.15">
      <c r="A281" s="22">
        <v>41269</v>
      </c>
      <c r="B281">
        <v>1.3223</v>
      </c>
    </row>
    <row r="282" spans="1:2" x14ac:dyDescent="0.15">
      <c r="A282" s="22">
        <v>41270</v>
      </c>
      <c r="B282">
        <v>1.3234999999999999</v>
      </c>
    </row>
    <row r="283" spans="1:2" x14ac:dyDescent="0.15">
      <c r="A283" s="22">
        <v>41271</v>
      </c>
      <c r="B283">
        <v>1.3213999999999999</v>
      </c>
    </row>
    <row r="284" spans="1:2" x14ac:dyDescent="0.15">
      <c r="A284" s="22">
        <v>41274</v>
      </c>
      <c r="B284">
        <v>1.3193999999999999</v>
      </c>
    </row>
    <row r="285" spans="1:2" x14ac:dyDescent="0.15">
      <c r="A285" s="22">
        <v>41275</v>
      </c>
      <c r="B285">
        <v>1.3204</v>
      </c>
    </row>
    <row r="286" spans="1:2" x14ac:dyDescent="0.15">
      <c r="A286" s="22">
        <v>41276</v>
      </c>
      <c r="B286">
        <v>1.3184</v>
      </c>
    </row>
    <row r="287" spans="1:2" x14ac:dyDescent="0.15">
      <c r="A287" s="22">
        <v>41277</v>
      </c>
      <c r="B287">
        <v>1.3046</v>
      </c>
    </row>
    <row r="288" spans="1:2" x14ac:dyDescent="0.15">
      <c r="A288" s="22">
        <v>41278</v>
      </c>
      <c r="B288">
        <v>1.3067</v>
      </c>
    </row>
    <row r="289" spans="1:2" x14ac:dyDescent="0.15">
      <c r="A289" s="22">
        <v>41281</v>
      </c>
      <c r="B289">
        <v>1.3115000000000001</v>
      </c>
    </row>
    <row r="290" spans="1:2" x14ac:dyDescent="0.15">
      <c r="A290" s="22">
        <v>41282</v>
      </c>
      <c r="B290">
        <v>1.3080000000000001</v>
      </c>
    </row>
    <row r="291" spans="1:2" x14ac:dyDescent="0.15">
      <c r="A291" s="22">
        <v>41283</v>
      </c>
      <c r="B291">
        <v>1.3063</v>
      </c>
    </row>
    <row r="292" spans="1:2" x14ac:dyDescent="0.15">
      <c r="A292" s="22">
        <v>41284</v>
      </c>
      <c r="B292">
        <v>1.3269</v>
      </c>
    </row>
    <row r="293" spans="1:2" x14ac:dyDescent="0.15">
      <c r="A293" s="22">
        <v>41285</v>
      </c>
      <c r="B293">
        <v>1.3343</v>
      </c>
    </row>
    <row r="294" spans="1:2" x14ac:dyDescent="0.15">
      <c r="A294" s="22">
        <v>41288</v>
      </c>
      <c r="B294">
        <v>1.3382000000000001</v>
      </c>
    </row>
    <row r="295" spans="1:2" x14ac:dyDescent="0.15">
      <c r="A295" s="22">
        <v>41289</v>
      </c>
      <c r="B295">
        <v>1.3303</v>
      </c>
    </row>
    <row r="296" spans="1:2" x14ac:dyDescent="0.15">
      <c r="A296" s="22">
        <v>41290</v>
      </c>
      <c r="B296">
        <v>1.3289</v>
      </c>
    </row>
    <row r="297" spans="1:2" x14ac:dyDescent="0.15">
      <c r="A297" s="22">
        <v>41291</v>
      </c>
      <c r="B297">
        <v>1.3373999999999999</v>
      </c>
    </row>
    <row r="298" spans="1:2" x14ac:dyDescent="0.15">
      <c r="A298" s="22">
        <v>41292</v>
      </c>
      <c r="B298">
        <v>1.3317000000000001</v>
      </c>
    </row>
    <row r="299" spans="1:2" x14ac:dyDescent="0.15">
      <c r="A299" s="22">
        <v>41295</v>
      </c>
      <c r="B299">
        <v>1.3311999999999999</v>
      </c>
    </row>
    <row r="300" spans="1:2" x14ac:dyDescent="0.15">
      <c r="A300" s="22">
        <v>41296</v>
      </c>
      <c r="B300">
        <v>1.3320000000000001</v>
      </c>
    </row>
    <row r="301" spans="1:2" x14ac:dyDescent="0.15">
      <c r="A301" s="22">
        <v>41297</v>
      </c>
      <c r="B301">
        <v>1.3315999999999999</v>
      </c>
    </row>
    <row r="302" spans="1:2" x14ac:dyDescent="0.15">
      <c r="A302" s="22">
        <v>41298</v>
      </c>
      <c r="B302">
        <v>1.3373999999999999</v>
      </c>
    </row>
    <row r="303" spans="1:2" x14ac:dyDescent="0.15">
      <c r="A303" s="22">
        <v>41299</v>
      </c>
      <c r="B303">
        <v>1.3460000000000001</v>
      </c>
    </row>
    <row r="304" spans="1:2" x14ac:dyDescent="0.15">
      <c r="A304" s="22">
        <v>41302</v>
      </c>
      <c r="B304">
        <v>1.3454999999999999</v>
      </c>
    </row>
    <row r="305" spans="1:2" x14ac:dyDescent="0.15">
      <c r="A305" s="22">
        <v>41303</v>
      </c>
      <c r="B305">
        <v>1.3491</v>
      </c>
    </row>
    <row r="306" spans="1:2" x14ac:dyDescent="0.15">
      <c r="A306" s="22">
        <v>41304</v>
      </c>
      <c r="B306">
        <v>1.3567</v>
      </c>
    </row>
    <row r="307" spans="1:2" x14ac:dyDescent="0.15">
      <c r="A307" s="22">
        <v>41305</v>
      </c>
      <c r="B307">
        <v>1.3577999999999999</v>
      </c>
    </row>
    <row r="308" spans="1:2" x14ac:dyDescent="0.15">
      <c r="A308" s="22">
        <v>41306</v>
      </c>
      <c r="B308">
        <v>1.3638999999999999</v>
      </c>
    </row>
    <row r="309" spans="1:2" x14ac:dyDescent="0.15">
      <c r="A309" s="22">
        <v>41309</v>
      </c>
      <c r="B309">
        <v>1.3512999999999999</v>
      </c>
    </row>
    <row r="310" spans="1:2" x14ac:dyDescent="0.15">
      <c r="A310" s="22">
        <v>41310</v>
      </c>
      <c r="B310">
        <v>1.3581000000000001</v>
      </c>
    </row>
    <row r="311" spans="1:2" x14ac:dyDescent="0.15">
      <c r="A311" s="22">
        <v>41311</v>
      </c>
      <c r="B311">
        <v>1.3520000000000001</v>
      </c>
    </row>
    <row r="312" spans="1:2" x14ac:dyDescent="0.15">
      <c r="A312" s="22">
        <v>41312</v>
      </c>
      <c r="B312">
        <v>1.3395999999999999</v>
      </c>
    </row>
    <row r="313" spans="1:2" x14ac:dyDescent="0.15">
      <c r="A313" s="22">
        <v>41313</v>
      </c>
      <c r="B313">
        <v>1.3363</v>
      </c>
    </row>
    <row r="314" spans="1:2" x14ac:dyDescent="0.15">
      <c r="A314" s="22">
        <v>41316</v>
      </c>
      <c r="B314">
        <v>1.3406</v>
      </c>
    </row>
    <row r="315" spans="1:2" x14ac:dyDescent="0.15">
      <c r="A315" s="22">
        <v>41317</v>
      </c>
      <c r="B315">
        <v>1.3452999999999999</v>
      </c>
    </row>
    <row r="316" spans="1:2" x14ac:dyDescent="0.15">
      <c r="A316" s="22">
        <v>41318</v>
      </c>
      <c r="B316">
        <v>1.3452999999999999</v>
      </c>
    </row>
    <row r="317" spans="1:2" x14ac:dyDescent="0.15">
      <c r="A317" s="22">
        <v>41319</v>
      </c>
      <c r="B317">
        <v>1.3360000000000001</v>
      </c>
    </row>
    <row r="318" spans="1:2" x14ac:dyDescent="0.15">
      <c r="A318" s="22">
        <v>41320</v>
      </c>
      <c r="B318">
        <v>1.3362000000000001</v>
      </c>
    </row>
    <row r="319" spans="1:2" x14ac:dyDescent="0.15">
      <c r="A319" s="22">
        <v>41323</v>
      </c>
      <c r="B319">
        <v>1.3351</v>
      </c>
    </row>
    <row r="320" spans="1:2" x14ac:dyDescent="0.15">
      <c r="A320" s="22">
        <v>41324</v>
      </c>
      <c r="B320">
        <v>1.3386</v>
      </c>
    </row>
    <row r="321" spans="1:2" x14ac:dyDescent="0.15">
      <c r="A321" s="22">
        <v>41325</v>
      </c>
      <c r="B321">
        <v>1.3280000000000001</v>
      </c>
    </row>
    <row r="322" spans="1:2" x14ac:dyDescent="0.15">
      <c r="A322" s="22">
        <v>41326</v>
      </c>
      <c r="B322">
        <v>1.3188</v>
      </c>
    </row>
    <row r="323" spans="1:2" x14ac:dyDescent="0.15">
      <c r="A323" s="22">
        <v>41327</v>
      </c>
      <c r="B323">
        <v>1.3188</v>
      </c>
    </row>
    <row r="324" spans="1:2" x14ac:dyDescent="0.15">
      <c r="A324" s="22">
        <v>41330</v>
      </c>
      <c r="B324">
        <v>1.3062</v>
      </c>
    </row>
    <row r="325" spans="1:2" x14ac:dyDescent="0.15">
      <c r="A325" s="22">
        <v>41331</v>
      </c>
      <c r="B325">
        <v>1.3061</v>
      </c>
    </row>
    <row r="326" spans="1:2" x14ac:dyDescent="0.15">
      <c r="A326" s="22">
        <v>41332</v>
      </c>
      <c r="B326">
        <v>1.3138000000000001</v>
      </c>
    </row>
    <row r="327" spans="1:2" x14ac:dyDescent="0.15">
      <c r="A327" s="22">
        <v>41333</v>
      </c>
      <c r="B327">
        <v>1.3056000000000001</v>
      </c>
    </row>
    <row r="328" spans="1:2" x14ac:dyDescent="0.15">
      <c r="A328" s="22">
        <v>41334</v>
      </c>
      <c r="B328">
        <v>1.302</v>
      </c>
    </row>
    <row r="329" spans="1:2" x14ac:dyDescent="0.15">
      <c r="A329" s="22">
        <v>41337</v>
      </c>
      <c r="B329">
        <v>1.3025</v>
      </c>
    </row>
    <row r="330" spans="1:2" x14ac:dyDescent="0.15">
      <c r="A330" s="22">
        <v>41338</v>
      </c>
      <c r="B330">
        <v>1.3049999999999999</v>
      </c>
    </row>
    <row r="331" spans="1:2" x14ac:dyDescent="0.15">
      <c r="A331" s="22">
        <v>41339</v>
      </c>
      <c r="B331">
        <v>1.2965</v>
      </c>
    </row>
    <row r="332" spans="1:2" x14ac:dyDescent="0.15">
      <c r="A332" s="22">
        <v>41340</v>
      </c>
      <c r="B332">
        <v>1.3104</v>
      </c>
    </row>
    <row r="333" spans="1:2" x14ac:dyDescent="0.15">
      <c r="A333" s="22">
        <v>41341</v>
      </c>
      <c r="B333">
        <v>1.3004</v>
      </c>
    </row>
    <row r="334" spans="1:2" x14ac:dyDescent="0.15">
      <c r="A334" s="22">
        <v>41344</v>
      </c>
      <c r="B334">
        <v>1.3043</v>
      </c>
    </row>
    <row r="335" spans="1:2" x14ac:dyDescent="0.15">
      <c r="A335" s="22">
        <v>41345</v>
      </c>
      <c r="B335">
        <v>1.3031999999999999</v>
      </c>
    </row>
    <row r="336" spans="1:2" x14ac:dyDescent="0.15">
      <c r="A336" s="22">
        <v>41346</v>
      </c>
      <c r="B336">
        <v>1.296</v>
      </c>
    </row>
    <row r="337" spans="1:2" x14ac:dyDescent="0.15">
      <c r="A337" s="22">
        <v>41347</v>
      </c>
      <c r="B337">
        <v>1.3004</v>
      </c>
    </row>
    <row r="338" spans="1:2" x14ac:dyDescent="0.15">
      <c r="A338" s="22">
        <v>41348</v>
      </c>
      <c r="B338">
        <v>1.3073999999999999</v>
      </c>
    </row>
    <row r="339" spans="1:2" x14ac:dyDescent="0.15">
      <c r="A339" s="22">
        <v>41351</v>
      </c>
      <c r="B339">
        <v>1.2954000000000001</v>
      </c>
    </row>
    <row r="340" spans="1:2" x14ac:dyDescent="0.15">
      <c r="A340" s="22">
        <v>41352</v>
      </c>
      <c r="B340">
        <v>1.2881</v>
      </c>
    </row>
    <row r="341" spans="1:2" x14ac:dyDescent="0.15">
      <c r="A341" s="22">
        <v>41353</v>
      </c>
      <c r="B341">
        <v>1.2931999999999999</v>
      </c>
    </row>
    <row r="342" spans="1:2" x14ac:dyDescent="0.15">
      <c r="A342" s="22">
        <v>41354</v>
      </c>
      <c r="B342">
        <v>1.2897000000000001</v>
      </c>
    </row>
    <row r="343" spans="1:2" x14ac:dyDescent="0.15">
      <c r="A343" s="22">
        <v>41355</v>
      </c>
      <c r="B343">
        <v>1.2985</v>
      </c>
    </row>
    <row r="344" spans="1:2" x14ac:dyDescent="0.15">
      <c r="A344" s="22">
        <v>41358</v>
      </c>
      <c r="B344">
        <v>1.2850999999999999</v>
      </c>
    </row>
    <row r="345" spans="1:2" x14ac:dyDescent="0.15">
      <c r="A345" s="22">
        <v>41359</v>
      </c>
      <c r="B345">
        <v>1.286</v>
      </c>
    </row>
    <row r="346" spans="1:2" x14ac:dyDescent="0.15">
      <c r="A346" s="22">
        <v>41360</v>
      </c>
      <c r="B346">
        <v>1.278</v>
      </c>
    </row>
    <row r="347" spans="1:2" x14ac:dyDescent="0.15">
      <c r="A347" s="22">
        <v>41361</v>
      </c>
      <c r="B347">
        <v>1.2814000000000001</v>
      </c>
    </row>
    <row r="348" spans="1:2" x14ac:dyDescent="0.15">
      <c r="A348" s="22">
        <v>41362</v>
      </c>
      <c r="B348">
        <v>1.2818000000000001</v>
      </c>
    </row>
    <row r="349" spans="1:2" x14ac:dyDescent="0.15">
      <c r="A349" s="22">
        <v>41365</v>
      </c>
      <c r="B349">
        <v>1.2847</v>
      </c>
    </row>
    <row r="350" spans="1:2" x14ac:dyDescent="0.15">
      <c r="A350" s="22">
        <v>41366</v>
      </c>
      <c r="B350">
        <v>1.2818000000000001</v>
      </c>
    </row>
    <row r="351" spans="1:2" x14ac:dyDescent="0.15">
      <c r="A351" s="22">
        <v>41367</v>
      </c>
      <c r="B351">
        <v>1.2849999999999999</v>
      </c>
    </row>
    <row r="352" spans="1:2" x14ac:dyDescent="0.15">
      <c r="A352" s="22">
        <v>41368</v>
      </c>
      <c r="B352">
        <v>1.2935000000000001</v>
      </c>
    </row>
    <row r="353" spans="1:2" x14ac:dyDescent="0.15">
      <c r="A353" s="22">
        <v>41369</v>
      </c>
      <c r="B353">
        <v>1.2988999999999999</v>
      </c>
    </row>
    <row r="354" spans="1:2" x14ac:dyDescent="0.15">
      <c r="A354" s="22">
        <v>41372</v>
      </c>
      <c r="B354">
        <v>1.3007</v>
      </c>
    </row>
    <row r="355" spans="1:2" x14ac:dyDescent="0.15">
      <c r="A355" s="22">
        <v>41373</v>
      </c>
      <c r="B355">
        <v>1.3081</v>
      </c>
    </row>
    <row r="356" spans="1:2" x14ac:dyDescent="0.15">
      <c r="A356" s="22">
        <v>41374</v>
      </c>
      <c r="B356">
        <v>1.3068</v>
      </c>
    </row>
    <row r="357" spans="1:2" x14ac:dyDescent="0.15">
      <c r="A357" s="22">
        <v>41375</v>
      </c>
      <c r="B357">
        <v>1.3102</v>
      </c>
    </row>
    <row r="358" spans="1:2" x14ac:dyDescent="0.15">
      <c r="A358" s="22">
        <v>41376</v>
      </c>
      <c r="B358">
        <v>1.3110999999999999</v>
      </c>
    </row>
    <row r="359" spans="1:2" x14ac:dyDescent="0.15">
      <c r="A359" s="22">
        <v>41379</v>
      </c>
      <c r="B359">
        <v>1.3033999999999999</v>
      </c>
    </row>
    <row r="360" spans="1:2" x14ac:dyDescent="0.15">
      <c r="A360" s="22">
        <v>41380</v>
      </c>
      <c r="B360">
        <v>1.3176000000000001</v>
      </c>
    </row>
    <row r="361" spans="1:2" x14ac:dyDescent="0.15">
      <c r="A361" s="22">
        <v>41381</v>
      </c>
      <c r="B361">
        <v>1.3028</v>
      </c>
    </row>
    <row r="362" spans="1:2" x14ac:dyDescent="0.15">
      <c r="A362" s="22">
        <v>41382</v>
      </c>
      <c r="B362">
        <v>1.3049999999999999</v>
      </c>
    </row>
    <row r="363" spans="1:2" x14ac:dyDescent="0.15">
      <c r="A363" s="22">
        <v>41383</v>
      </c>
      <c r="B363">
        <v>1.3050999999999999</v>
      </c>
    </row>
    <row r="364" spans="1:2" x14ac:dyDescent="0.15">
      <c r="A364" s="22">
        <v>41386</v>
      </c>
      <c r="B364">
        <v>1.3066</v>
      </c>
    </row>
    <row r="365" spans="1:2" x14ac:dyDescent="0.15">
      <c r="A365" s="22">
        <v>41387</v>
      </c>
      <c r="B365">
        <v>1.2998000000000001</v>
      </c>
    </row>
    <row r="366" spans="1:2" x14ac:dyDescent="0.15">
      <c r="A366" s="22">
        <v>41388</v>
      </c>
      <c r="B366">
        <v>1.3015000000000001</v>
      </c>
    </row>
    <row r="367" spans="1:2" x14ac:dyDescent="0.15">
      <c r="A367" s="22">
        <v>41389</v>
      </c>
      <c r="B367">
        <v>1.3011999999999999</v>
      </c>
    </row>
    <row r="368" spans="1:2" x14ac:dyDescent="0.15">
      <c r="A368" s="22">
        <v>41390</v>
      </c>
      <c r="B368">
        <v>1.3026</v>
      </c>
    </row>
    <row r="369" spans="1:2" x14ac:dyDescent="0.15">
      <c r="A369" s="22">
        <v>41393</v>
      </c>
      <c r="B369">
        <v>1.3097000000000001</v>
      </c>
    </row>
    <row r="370" spans="1:2" x14ac:dyDescent="0.15">
      <c r="A370" s="22">
        <v>41394</v>
      </c>
      <c r="B370">
        <v>1.3166</v>
      </c>
    </row>
    <row r="371" spans="1:2" x14ac:dyDescent="0.15">
      <c r="A371" s="22">
        <v>41395</v>
      </c>
      <c r="B371">
        <v>1.3177000000000001</v>
      </c>
    </row>
    <row r="372" spans="1:2" x14ac:dyDescent="0.15">
      <c r="A372" s="22">
        <v>41396</v>
      </c>
      <c r="B372">
        <v>1.3063</v>
      </c>
    </row>
    <row r="373" spans="1:2" x14ac:dyDescent="0.15">
      <c r="A373" s="22">
        <v>41397</v>
      </c>
      <c r="B373">
        <v>1.3112999999999999</v>
      </c>
    </row>
    <row r="374" spans="1:2" x14ac:dyDescent="0.15">
      <c r="A374" s="22">
        <v>41400</v>
      </c>
      <c r="B374">
        <v>1.3073999999999999</v>
      </c>
    </row>
    <row r="375" spans="1:2" x14ac:dyDescent="0.15">
      <c r="A375" s="22">
        <v>41401</v>
      </c>
      <c r="B375">
        <v>1.3077000000000001</v>
      </c>
    </row>
    <row r="376" spans="1:2" x14ac:dyDescent="0.15">
      <c r="A376" s="22">
        <v>41402</v>
      </c>
      <c r="B376">
        <v>1.3150999999999999</v>
      </c>
    </row>
    <row r="377" spans="1:2" x14ac:dyDescent="0.15">
      <c r="A377" s="22">
        <v>41403</v>
      </c>
      <c r="B377">
        <v>1.3041</v>
      </c>
    </row>
    <row r="378" spans="1:2" x14ac:dyDescent="0.15">
      <c r="A378" s="22">
        <v>41404</v>
      </c>
      <c r="B378">
        <v>1.2991999999999999</v>
      </c>
    </row>
    <row r="379" spans="1:2" x14ac:dyDescent="0.15">
      <c r="A379" s="22">
        <v>41407</v>
      </c>
      <c r="B379">
        <v>1.2975000000000001</v>
      </c>
    </row>
    <row r="380" spans="1:2" x14ac:dyDescent="0.15">
      <c r="A380" s="22">
        <v>41408</v>
      </c>
      <c r="B380">
        <v>1.2918000000000001</v>
      </c>
    </row>
    <row r="381" spans="1:2" x14ac:dyDescent="0.15">
      <c r="A381" s="22">
        <v>41409</v>
      </c>
      <c r="B381">
        <v>1.2886</v>
      </c>
    </row>
    <row r="382" spans="1:2" x14ac:dyDescent="0.15">
      <c r="A382" s="22">
        <v>41410</v>
      </c>
      <c r="B382">
        <v>1.2881</v>
      </c>
    </row>
    <row r="383" spans="1:2" x14ac:dyDescent="0.15">
      <c r="A383" s="22">
        <v>41411</v>
      </c>
      <c r="B383">
        <v>1.2838000000000001</v>
      </c>
    </row>
    <row r="384" spans="1:2" x14ac:dyDescent="0.15">
      <c r="A384" s="22">
        <v>41414</v>
      </c>
      <c r="B384">
        <v>1.2882</v>
      </c>
    </row>
    <row r="385" spans="1:2" x14ac:dyDescent="0.15">
      <c r="A385" s="22">
        <v>41415</v>
      </c>
      <c r="B385">
        <v>1.2905</v>
      </c>
    </row>
    <row r="386" spans="1:2" x14ac:dyDescent="0.15">
      <c r="A386" s="22">
        <v>41416</v>
      </c>
      <c r="B386">
        <v>1.2856000000000001</v>
      </c>
    </row>
    <row r="387" spans="1:2" x14ac:dyDescent="0.15">
      <c r="A387" s="22">
        <v>41417</v>
      </c>
      <c r="B387">
        <v>1.2935000000000001</v>
      </c>
    </row>
    <row r="388" spans="1:2" x14ac:dyDescent="0.15">
      <c r="A388" s="22">
        <v>41418</v>
      </c>
      <c r="B388">
        <v>1.2928999999999999</v>
      </c>
    </row>
    <row r="389" spans="1:2" x14ac:dyDescent="0.15">
      <c r="A389" s="22">
        <v>41421</v>
      </c>
      <c r="B389">
        <v>1.2928999999999999</v>
      </c>
    </row>
    <row r="390" spans="1:2" x14ac:dyDescent="0.15">
      <c r="A390" s="22">
        <v>41422</v>
      </c>
      <c r="B390">
        <v>1.2854000000000001</v>
      </c>
    </row>
    <row r="391" spans="1:2" x14ac:dyDescent="0.15">
      <c r="A391" s="22">
        <v>41423</v>
      </c>
      <c r="B391">
        <v>1.2938000000000001</v>
      </c>
    </row>
    <row r="392" spans="1:2" x14ac:dyDescent="0.15">
      <c r="A392" s="22">
        <v>41424</v>
      </c>
      <c r="B392">
        <v>1.3048</v>
      </c>
    </row>
    <row r="393" spans="1:2" x14ac:dyDescent="0.15">
      <c r="A393" s="22">
        <v>41425</v>
      </c>
      <c r="B393">
        <v>1.2995000000000001</v>
      </c>
    </row>
    <row r="394" spans="1:2" x14ac:dyDescent="0.15">
      <c r="A394" s="22">
        <v>41428</v>
      </c>
      <c r="B394">
        <v>1.3075000000000001</v>
      </c>
    </row>
    <row r="395" spans="1:2" x14ac:dyDescent="0.15">
      <c r="A395" s="22">
        <v>41429</v>
      </c>
      <c r="B395">
        <v>1.3078000000000001</v>
      </c>
    </row>
    <row r="396" spans="1:2" x14ac:dyDescent="0.15">
      <c r="A396" s="22">
        <v>41430</v>
      </c>
      <c r="B396">
        <v>1.3092999999999999</v>
      </c>
    </row>
    <row r="397" spans="1:2" x14ac:dyDescent="0.15">
      <c r="A397" s="22">
        <v>41431</v>
      </c>
      <c r="B397">
        <v>1.3245</v>
      </c>
    </row>
    <row r="398" spans="1:2" x14ac:dyDescent="0.15">
      <c r="A398" s="22">
        <v>41432</v>
      </c>
      <c r="B398">
        <v>1.3222</v>
      </c>
    </row>
    <row r="399" spans="1:2" x14ac:dyDescent="0.15">
      <c r="A399" s="22">
        <v>41435</v>
      </c>
      <c r="B399">
        <v>1.3255999999999999</v>
      </c>
    </row>
    <row r="400" spans="1:2" x14ac:dyDescent="0.15">
      <c r="A400" s="22">
        <v>41436</v>
      </c>
      <c r="B400">
        <v>1.3313999999999999</v>
      </c>
    </row>
    <row r="401" spans="1:2" x14ac:dyDescent="0.15">
      <c r="A401" s="22">
        <v>41437</v>
      </c>
      <c r="B401">
        <v>1.3335999999999999</v>
      </c>
    </row>
    <row r="402" spans="1:2" x14ac:dyDescent="0.15">
      <c r="A402" s="22">
        <v>41438</v>
      </c>
      <c r="B402">
        <v>1.3373999999999999</v>
      </c>
    </row>
    <row r="403" spans="1:2" x14ac:dyDescent="0.15">
      <c r="A403" s="22">
        <v>41439</v>
      </c>
      <c r="B403">
        <v>1.3346</v>
      </c>
    </row>
    <row r="404" spans="1:2" x14ac:dyDescent="0.15">
      <c r="A404" s="22">
        <v>41442</v>
      </c>
      <c r="B404">
        <v>1.3367</v>
      </c>
    </row>
    <row r="405" spans="1:2" x14ac:dyDescent="0.15">
      <c r="A405" s="22">
        <v>41443</v>
      </c>
      <c r="B405">
        <v>1.3392999999999999</v>
      </c>
    </row>
    <row r="406" spans="1:2" x14ac:dyDescent="0.15">
      <c r="A406" s="22">
        <v>41444</v>
      </c>
      <c r="B406">
        <v>1.3293999999999999</v>
      </c>
    </row>
    <row r="407" spans="1:2" x14ac:dyDescent="0.15">
      <c r="A407" s="22">
        <v>41445</v>
      </c>
      <c r="B407">
        <v>1.3218000000000001</v>
      </c>
    </row>
    <row r="408" spans="1:2" x14ac:dyDescent="0.15">
      <c r="A408" s="22">
        <v>41446</v>
      </c>
      <c r="B408">
        <v>1.3122</v>
      </c>
    </row>
    <row r="409" spans="1:2" x14ac:dyDescent="0.15">
      <c r="A409" s="22">
        <v>41449</v>
      </c>
      <c r="B409">
        <v>1.3117000000000001</v>
      </c>
    </row>
    <row r="410" spans="1:2" x14ac:dyDescent="0.15">
      <c r="A410" s="22">
        <v>41450</v>
      </c>
      <c r="B410">
        <v>1.3084</v>
      </c>
    </row>
    <row r="411" spans="1:2" x14ac:dyDescent="0.15">
      <c r="A411" s="22">
        <v>41451</v>
      </c>
      <c r="B411">
        <v>1.3010999999999999</v>
      </c>
    </row>
    <row r="412" spans="1:2" x14ac:dyDescent="0.15">
      <c r="A412" s="22">
        <v>41452</v>
      </c>
      <c r="B412">
        <v>1.3035000000000001</v>
      </c>
    </row>
    <row r="413" spans="1:2" x14ac:dyDescent="0.15">
      <c r="A413" s="22">
        <v>41453</v>
      </c>
      <c r="B413">
        <v>1.3008</v>
      </c>
    </row>
    <row r="414" spans="1:2" x14ac:dyDescent="0.15">
      <c r="A414" s="22">
        <v>41456</v>
      </c>
      <c r="B414">
        <v>1.3063</v>
      </c>
    </row>
    <row r="415" spans="1:2" x14ac:dyDescent="0.15">
      <c r="A415" s="22">
        <v>41457</v>
      </c>
      <c r="B415">
        <v>1.2977000000000001</v>
      </c>
    </row>
    <row r="416" spans="1:2" x14ac:dyDescent="0.15">
      <c r="A416" s="22">
        <v>41458</v>
      </c>
      <c r="B416">
        <v>1.3006</v>
      </c>
    </row>
    <row r="417" spans="1:2" x14ac:dyDescent="0.15">
      <c r="A417" s="22">
        <v>41459</v>
      </c>
      <c r="B417">
        <v>1.2912999999999999</v>
      </c>
    </row>
    <row r="418" spans="1:2" x14ac:dyDescent="0.15">
      <c r="A418" s="22">
        <v>41460</v>
      </c>
      <c r="B418">
        <v>1.2829999999999999</v>
      </c>
    </row>
    <row r="419" spans="1:2" x14ac:dyDescent="0.15">
      <c r="A419" s="22">
        <v>41463</v>
      </c>
      <c r="B419">
        <v>1.2868999999999999</v>
      </c>
    </row>
    <row r="420" spans="1:2" x14ac:dyDescent="0.15">
      <c r="A420" s="22">
        <v>41464</v>
      </c>
      <c r="B420">
        <v>1.278</v>
      </c>
    </row>
    <row r="421" spans="1:2" x14ac:dyDescent="0.15">
      <c r="A421" s="22">
        <v>41465</v>
      </c>
      <c r="B421">
        <v>1.2974000000000001</v>
      </c>
    </row>
    <row r="422" spans="1:2" x14ac:dyDescent="0.15">
      <c r="A422" s="22">
        <v>41466</v>
      </c>
      <c r="B422">
        <v>1.3093999999999999</v>
      </c>
    </row>
    <row r="423" spans="1:2" x14ac:dyDescent="0.15">
      <c r="A423" s="22">
        <v>41467</v>
      </c>
      <c r="B423">
        <v>1.3066</v>
      </c>
    </row>
    <row r="424" spans="1:2" x14ac:dyDescent="0.15">
      <c r="A424" s="22">
        <v>41470</v>
      </c>
      <c r="B424">
        <v>1.3062</v>
      </c>
    </row>
    <row r="425" spans="1:2" x14ac:dyDescent="0.15">
      <c r="A425" s="22">
        <v>41471</v>
      </c>
      <c r="B425">
        <v>1.3161</v>
      </c>
    </row>
    <row r="426" spans="1:2" x14ac:dyDescent="0.15">
      <c r="A426" s="22">
        <v>41472</v>
      </c>
      <c r="B426">
        <v>1.3124</v>
      </c>
    </row>
    <row r="427" spans="1:2" x14ac:dyDescent="0.15">
      <c r="A427" s="22">
        <v>41473</v>
      </c>
      <c r="B427">
        <v>1.3109</v>
      </c>
    </row>
    <row r="428" spans="1:2" x14ac:dyDescent="0.15">
      <c r="A428" s="22">
        <v>41474</v>
      </c>
      <c r="B428">
        <v>1.3142</v>
      </c>
    </row>
    <row r="429" spans="1:2" x14ac:dyDescent="0.15">
      <c r="A429" s="22">
        <v>41477</v>
      </c>
      <c r="B429">
        <v>1.3183</v>
      </c>
    </row>
    <row r="430" spans="1:2" x14ac:dyDescent="0.15">
      <c r="A430" s="22">
        <v>41478</v>
      </c>
      <c r="B430">
        <v>1.3221000000000001</v>
      </c>
    </row>
    <row r="431" spans="1:2" x14ac:dyDescent="0.15">
      <c r="A431" s="22">
        <v>41479</v>
      </c>
      <c r="B431">
        <v>1.32</v>
      </c>
    </row>
    <row r="432" spans="1:2" x14ac:dyDescent="0.15">
      <c r="A432" s="22">
        <v>41480</v>
      </c>
      <c r="B432">
        <v>1.3275999999999999</v>
      </c>
    </row>
    <row r="433" spans="1:2" x14ac:dyDescent="0.15">
      <c r="A433" s="22">
        <v>41481</v>
      </c>
      <c r="B433">
        <v>1.3278000000000001</v>
      </c>
    </row>
    <row r="434" spans="1:2" x14ac:dyDescent="0.15">
      <c r="A434" s="22">
        <v>41484</v>
      </c>
      <c r="B434">
        <v>1.3260000000000001</v>
      </c>
    </row>
    <row r="435" spans="1:2" x14ac:dyDescent="0.15">
      <c r="A435" s="22">
        <v>41485</v>
      </c>
      <c r="B435">
        <v>1.3262</v>
      </c>
    </row>
    <row r="436" spans="1:2" x14ac:dyDescent="0.15">
      <c r="A436" s="22">
        <v>41486</v>
      </c>
      <c r="B436">
        <v>1.33</v>
      </c>
    </row>
    <row r="437" spans="1:2" x14ac:dyDescent="0.15">
      <c r="A437" s="22">
        <v>41487</v>
      </c>
      <c r="B437">
        <v>1.3206</v>
      </c>
    </row>
    <row r="438" spans="1:2" x14ac:dyDescent="0.15">
      <c r="A438" s="22">
        <v>41488</v>
      </c>
      <c r="B438">
        <v>1.3281000000000001</v>
      </c>
    </row>
    <row r="439" spans="1:2" x14ac:dyDescent="0.15">
      <c r="A439" s="22">
        <v>41491</v>
      </c>
      <c r="B439">
        <v>1.3257000000000001</v>
      </c>
    </row>
    <row r="440" spans="1:2" x14ac:dyDescent="0.15">
      <c r="A440" s="22">
        <v>41492</v>
      </c>
      <c r="B440">
        <v>1.3305</v>
      </c>
    </row>
    <row r="441" spans="1:2" x14ac:dyDescent="0.15">
      <c r="A441" s="22">
        <v>41493</v>
      </c>
      <c r="B441">
        <v>1.3335999999999999</v>
      </c>
    </row>
    <row r="442" spans="1:2" x14ac:dyDescent="0.15">
      <c r="A442" s="22">
        <v>41494</v>
      </c>
      <c r="B442">
        <v>1.3379000000000001</v>
      </c>
    </row>
    <row r="443" spans="1:2" x14ac:dyDescent="0.15">
      <c r="A443" s="22">
        <v>41495</v>
      </c>
      <c r="B443">
        <v>1.3342000000000001</v>
      </c>
    </row>
    <row r="444" spans="1:2" x14ac:dyDescent="0.15">
      <c r="A444" s="22">
        <v>41498</v>
      </c>
      <c r="B444">
        <v>1.3298000000000001</v>
      </c>
    </row>
    <row r="445" spans="1:2" x14ac:dyDescent="0.15">
      <c r="A445" s="22">
        <v>41499</v>
      </c>
      <c r="B445">
        <v>1.3261000000000001</v>
      </c>
    </row>
    <row r="446" spans="1:2" x14ac:dyDescent="0.15">
      <c r="A446" s="22">
        <v>41500</v>
      </c>
      <c r="B446">
        <v>1.3254999999999999</v>
      </c>
    </row>
    <row r="447" spans="1:2" x14ac:dyDescent="0.15">
      <c r="A447" s="22">
        <v>41501</v>
      </c>
      <c r="B447">
        <v>1.3346</v>
      </c>
    </row>
    <row r="448" spans="1:2" x14ac:dyDescent="0.15">
      <c r="A448" s="22">
        <v>41502</v>
      </c>
      <c r="B448">
        <v>1.3329</v>
      </c>
    </row>
    <row r="449" spans="1:2" x14ac:dyDescent="0.15">
      <c r="A449" s="22">
        <v>41505</v>
      </c>
      <c r="B449">
        <v>1.3332999999999999</v>
      </c>
    </row>
    <row r="450" spans="1:2" x14ac:dyDescent="0.15">
      <c r="A450" s="22">
        <v>41506</v>
      </c>
      <c r="B450">
        <v>1.3415999999999999</v>
      </c>
    </row>
    <row r="451" spans="1:2" x14ac:dyDescent="0.15">
      <c r="A451" s="22">
        <v>41507</v>
      </c>
      <c r="B451">
        <v>1.3355999999999999</v>
      </c>
    </row>
    <row r="452" spans="1:2" x14ac:dyDescent="0.15">
      <c r="A452" s="22">
        <v>41508</v>
      </c>
      <c r="B452">
        <v>1.3353999999999999</v>
      </c>
    </row>
    <row r="453" spans="1:2" x14ac:dyDescent="0.15">
      <c r="A453" s="22">
        <v>41509</v>
      </c>
      <c r="B453">
        <v>1.3381000000000001</v>
      </c>
    </row>
    <row r="454" spans="1:2" x14ac:dyDescent="0.15">
      <c r="A454" s="22">
        <v>41512</v>
      </c>
      <c r="B454">
        <v>1.3368</v>
      </c>
    </row>
    <row r="455" spans="1:2" x14ac:dyDescent="0.15">
      <c r="A455" s="22">
        <v>41513</v>
      </c>
      <c r="B455">
        <v>1.3391999999999999</v>
      </c>
    </row>
    <row r="456" spans="1:2" x14ac:dyDescent="0.15">
      <c r="A456" s="22">
        <v>41514</v>
      </c>
      <c r="B456">
        <v>1.3338000000000001</v>
      </c>
    </row>
    <row r="457" spans="1:2" x14ac:dyDescent="0.15">
      <c r="A457" s="22">
        <v>41515</v>
      </c>
      <c r="B457">
        <v>1.3240000000000001</v>
      </c>
    </row>
    <row r="458" spans="1:2" x14ac:dyDescent="0.15">
      <c r="A458" s="22">
        <v>41516</v>
      </c>
      <c r="B458">
        <v>1.3220000000000001</v>
      </c>
    </row>
    <row r="459" spans="1:2" x14ac:dyDescent="0.15">
      <c r="A459" s="22">
        <v>41519</v>
      </c>
      <c r="B459">
        <v>1.319</v>
      </c>
    </row>
    <row r="460" spans="1:2" x14ac:dyDescent="0.15">
      <c r="A460" s="22">
        <v>41520</v>
      </c>
      <c r="B460">
        <v>1.3169</v>
      </c>
    </row>
    <row r="461" spans="1:2" x14ac:dyDescent="0.15">
      <c r="A461" s="22">
        <v>41521</v>
      </c>
      <c r="B461">
        <v>1.3207</v>
      </c>
    </row>
    <row r="462" spans="1:2" x14ac:dyDescent="0.15">
      <c r="A462" s="22">
        <v>41522</v>
      </c>
      <c r="B462">
        <v>1.3119000000000001</v>
      </c>
    </row>
    <row r="463" spans="1:2" x14ac:dyDescent="0.15">
      <c r="A463" s="22">
        <v>41523</v>
      </c>
      <c r="B463">
        <v>1.3179000000000001</v>
      </c>
    </row>
    <row r="464" spans="1:2" x14ac:dyDescent="0.15">
      <c r="A464" s="22">
        <v>41526</v>
      </c>
      <c r="B464">
        <v>1.3253999999999999</v>
      </c>
    </row>
    <row r="465" spans="1:2" x14ac:dyDescent="0.15">
      <c r="A465" s="22">
        <v>41527</v>
      </c>
      <c r="B465">
        <v>1.3267</v>
      </c>
    </row>
    <row r="466" spans="1:2" x14ac:dyDescent="0.15">
      <c r="A466" s="22">
        <v>41528</v>
      </c>
      <c r="B466">
        <v>1.3309</v>
      </c>
    </row>
    <row r="467" spans="1:2" x14ac:dyDescent="0.15">
      <c r="A467" s="22">
        <v>41529</v>
      </c>
      <c r="B467">
        <v>1.3297000000000001</v>
      </c>
    </row>
    <row r="468" spans="1:2" x14ac:dyDescent="0.15">
      <c r="A468" s="22">
        <v>41530</v>
      </c>
      <c r="B468">
        <v>1.3291999999999999</v>
      </c>
    </row>
    <row r="469" spans="1:2" x14ac:dyDescent="0.15">
      <c r="A469" s="22">
        <v>41533</v>
      </c>
      <c r="B469">
        <v>1.3332999999999999</v>
      </c>
    </row>
    <row r="470" spans="1:2" x14ac:dyDescent="0.15">
      <c r="A470" s="22">
        <v>41534</v>
      </c>
      <c r="B470">
        <v>1.3357000000000001</v>
      </c>
    </row>
    <row r="471" spans="1:2" x14ac:dyDescent="0.15">
      <c r="A471" s="22">
        <v>41535</v>
      </c>
      <c r="B471">
        <v>1.3521000000000001</v>
      </c>
    </row>
    <row r="472" spans="1:2" x14ac:dyDescent="0.15">
      <c r="A472" s="22">
        <v>41536</v>
      </c>
      <c r="B472">
        <v>1.3529</v>
      </c>
    </row>
    <row r="473" spans="1:2" x14ac:dyDescent="0.15">
      <c r="A473" s="22">
        <v>41537</v>
      </c>
      <c r="B473">
        <v>1.3522000000000001</v>
      </c>
    </row>
    <row r="474" spans="1:2" x14ac:dyDescent="0.15">
      <c r="A474" s="22">
        <v>41540</v>
      </c>
      <c r="B474">
        <v>1.3492</v>
      </c>
    </row>
    <row r="475" spans="1:2" x14ac:dyDescent="0.15">
      <c r="A475" s="22">
        <v>41541</v>
      </c>
      <c r="B475">
        <v>1.3472</v>
      </c>
    </row>
    <row r="476" spans="1:2" x14ac:dyDescent="0.15">
      <c r="A476" s="22">
        <v>41542</v>
      </c>
      <c r="B476">
        <v>1.3525</v>
      </c>
    </row>
    <row r="477" spans="1:2" x14ac:dyDescent="0.15">
      <c r="A477" s="22">
        <v>41543</v>
      </c>
      <c r="B477">
        <v>1.3488</v>
      </c>
    </row>
    <row r="478" spans="1:2" x14ac:dyDescent="0.15">
      <c r="A478" s="22">
        <v>41544</v>
      </c>
      <c r="B478">
        <v>1.3521000000000001</v>
      </c>
    </row>
    <row r="479" spans="1:2" x14ac:dyDescent="0.15">
      <c r="A479" s="22">
        <v>41547</v>
      </c>
      <c r="B479">
        <v>1.3524</v>
      </c>
    </row>
    <row r="480" spans="1:2" x14ac:dyDescent="0.15">
      <c r="A480" s="22">
        <v>41548</v>
      </c>
      <c r="B480">
        <v>1.3524</v>
      </c>
    </row>
    <row r="481" spans="1:2" x14ac:dyDescent="0.15">
      <c r="A481" s="22">
        <v>41549</v>
      </c>
      <c r="B481">
        <v>1.3575999999999999</v>
      </c>
    </row>
    <row r="482" spans="1:2" x14ac:dyDescent="0.15">
      <c r="A482" s="22">
        <v>41550</v>
      </c>
      <c r="B482">
        <v>1.3616999999999999</v>
      </c>
    </row>
    <row r="483" spans="1:2" x14ac:dyDescent="0.15">
      <c r="A483" s="22">
        <v>41551</v>
      </c>
      <c r="B483">
        <v>1.3556999999999999</v>
      </c>
    </row>
    <row r="484" spans="1:2" x14ac:dyDescent="0.15">
      <c r="A484" s="22">
        <v>41554</v>
      </c>
      <c r="B484">
        <v>1.3581000000000001</v>
      </c>
    </row>
    <row r="485" spans="1:2" x14ac:dyDescent="0.15">
      <c r="A485" s="22">
        <v>41555</v>
      </c>
      <c r="B485">
        <v>1.3571</v>
      </c>
    </row>
    <row r="486" spans="1:2" x14ac:dyDescent="0.15">
      <c r="A486" s="22">
        <v>41556</v>
      </c>
      <c r="B486">
        <v>1.3523000000000001</v>
      </c>
    </row>
    <row r="487" spans="1:2" x14ac:dyDescent="0.15">
      <c r="A487" s="22">
        <v>41557</v>
      </c>
      <c r="B487">
        <v>1.3519000000000001</v>
      </c>
    </row>
    <row r="488" spans="1:2" x14ac:dyDescent="0.15">
      <c r="A488" s="22">
        <v>41558</v>
      </c>
      <c r="B488">
        <v>1.3541000000000001</v>
      </c>
    </row>
    <row r="489" spans="1:2" x14ac:dyDescent="0.15">
      <c r="A489" s="22">
        <v>41561</v>
      </c>
      <c r="B489">
        <v>1.3561000000000001</v>
      </c>
    </row>
    <row r="490" spans="1:2" x14ac:dyDescent="0.15">
      <c r="A490" s="22">
        <v>41562</v>
      </c>
      <c r="B490">
        <v>1.3523000000000001</v>
      </c>
    </row>
    <row r="491" spans="1:2" x14ac:dyDescent="0.15">
      <c r="A491" s="22">
        <v>41563</v>
      </c>
      <c r="B491">
        <v>1.3533999999999999</v>
      </c>
    </row>
    <row r="492" spans="1:2" x14ac:dyDescent="0.15">
      <c r="A492" s="22">
        <v>41564</v>
      </c>
      <c r="B492">
        <v>1.3674999999999999</v>
      </c>
    </row>
    <row r="493" spans="1:2" x14ac:dyDescent="0.15">
      <c r="A493" s="22">
        <v>41565</v>
      </c>
      <c r="B493">
        <v>1.3684000000000001</v>
      </c>
    </row>
    <row r="494" spans="1:2" x14ac:dyDescent="0.15">
      <c r="A494" s="22">
        <v>41568</v>
      </c>
      <c r="B494">
        <v>1.3681000000000001</v>
      </c>
    </row>
    <row r="495" spans="1:2" x14ac:dyDescent="0.15">
      <c r="A495" s="22">
        <v>41569</v>
      </c>
      <c r="B495">
        <v>1.3779999999999999</v>
      </c>
    </row>
    <row r="496" spans="1:2" x14ac:dyDescent="0.15">
      <c r="A496" s="22">
        <v>41570</v>
      </c>
      <c r="B496">
        <v>1.3774</v>
      </c>
    </row>
    <row r="497" spans="1:2" x14ac:dyDescent="0.15">
      <c r="A497" s="22">
        <v>41571</v>
      </c>
      <c r="B497">
        <v>1.3798999999999999</v>
      </c>
    </row>
    <row r="498" spans="1:2" x14ac:dyDescent="0.15">
      <c r="A498" s="22">
        <v>41572</v>
      </c>
      <c r="B498">
        <v>1.3804000000000001</v>
      </c>
    </row>
    <row r="499" spans="1:2" x14ac:dyDescent="0.15">
      <c r="A499" s="22">
        <v>41575</v>
      </c>
      <c r="B499">
        <v>1.3784000000000001</v>
      </c>
    </row>
    <row r="500" spans="1:2" x14ac:dyDescent="0.15">
      <c r="A500" s="22">
        <v>41576</v>
      </c>
      <c r="B500">
        <v>1.3745000000000001</v>
      </c>
    </row>
    <row r="501" spans="1:2" x14ac:dyDescent="0.15">
      <c r="A501" s="22">
        <v>41577</v>
      </c>
      <c r="B501">
        <v>1.3734999999999999</v>
      </c>
    </row>
    <row r="502" spans="1:2" x14ac:dyDescent="0.15">
      <c r="A502" s="22">
        <v>41578</v>
      </c>
      <c r="B502">
        <v>1.3582000000000001</v>
      </c>
    </row>
    <row r="503" spans="1:2" x14ac:dyDescent="0.15">
      <c r="A503" s="22">
        <v>41579</v>
      </c>
      <c r="B503">
        <v>1.3485</v>
      </c>
    </row>
    <row r="504" spans="1:2" x14ac:dyDescent="0.15">
      <c r="A504" s="22">
        <v>41582</v>
      </c>
      <c r="B504">
        <v>1.3512999999999999</v>
      </c>
    </row>
    <row r="505" spans="1:2" x14ac:dyDescent="0.15">
      <c r="A505" s="22">
        <v>41583</v>
      </c>
      <c r="B505">
        <v>1.3473999999999999</v>
      </c>
    </row>
    <row r="506" spans="1:2" x14ac:dyDescent="0.15">
      <c r="A506" s="22">
        <v>41584</v>
      </c>
      <c r="B506">
        <v>1.351</v>
      </c>
    </row>
    <row r="507" spans="1:2" x14ac:dyDescent="0.15">
      <c r="A507" s="22">
        <v>41585</v>
      </c>
      <c r="B507">
        <v>1.3418000000000001</v>
      </c>
    </row>
    <row r="508" spans="1:2" x14ac:dyDescent="0.15">
      <c r="A508" s="22">
        <v>41586</v>
      </c>
      <c r="B508">
        <v>1.337</v>
      </c>
    </row>
    <row r="509" spans="1:2" x14ac:dyDescent="0.15">
      <c r="A509" s="22">
        <v>41589</v>
      </c>
      <c r="B509">
        <v>1.3406</v>
      </c>
    </row>
    <row r="510" spans="1:2" x14ac:dyDescent="0.15">
      <c r="A510" s="22">
        <v>41590</v>
      </c>
      <c r="B510">
        <v>1.3434999999999999</v>
      </c>
    </row>
    <row r="511" spans="1:2" x14ac:dyDescent="0.15">
      <c r="A511" s="22">
        <v>41591</v>
      </c>
      <c r="B511">
        <v>1.3484</v>
      </c>
    </row>
    <row r="512" spans="1:2" x14ac:dyDescent="0.15">
      <c r="A512" s="22">
        <v>41592</v>
      </c>
      <c r="B512">
        <v>1.3456999999999999</v>
      </c>
    </row>
    <row r="513" spans="1:2" x14ac:dyDescent="0.15">
      <c r="A513" s="22">
        <v>41593</v>
      </c>
      <c r="B513">
        <v>1.3494999999999999</v>
      </c>
    </row>
    <row r="514" spans="1:2" x14ac:dyDescent="0.15">
      <c r="A514" s="22">
        <v>41596</v>
      </c>
      <c r="B514">
        <v>1.3503000000000001</v>
      </c>
    </row>
    <row r="515" spans="1:2" x14ac:dyDescent="0.15">
      <c r="A515" s="22">
        <v>41597</v>
      </c>
      <c r="B515">
        <v>1.3537999999999999</v>
      </c>
    </row>
    <row r="516" spans="1:2" x14ac:dyDescent="0.15">
      <c r="A516" s="22">
        <v>41598</v>
      </c>
      <c r="B516">
        <v>1.3438000000000001</v>
      </c>
    </row>
    <row r="517" spans="1:2" x14ac:dyDescent="0.15">
      <c r="A517" s="22">
        <v>41599</v>
      </c>
      <c r="B517">
        <v>1.3481000000000001</v>
      </c>
    </row>
    <row r="518" spans="1:2" x14ac:dyDescent="0.15">
      <c r="A518" s="22">
        <v>41600</v>
      </c>
      <c r="B518">
        <v>1.3557999999999999</v>
      </c>
    </row>
    <row r="519" spans="1:2" x14ac:dyDescent="0.15">
      <c r="A519" s="22">
        <v>41603</v>
      </c>
      <c r="B519">
        <v>1.3514999999999999</v>
      </c>
    </row>
    <row r="520" spans="1:2" x14ac:dyDescent="0.15">
      <c r="A520" s="22">
        <v>41604</v>
      </c>
      <c r="B520">
        <v>1.3571</v>
      </c>
    </row>
    <row r="521" spans="1:2" x14ac:dyDescent="0.15">
      <c r="A521" s="22">
        <v>41605</v>
      </c>
      <c r="B521">
        <v>1.3577999999999999</v>
      </c>
    </row>
    <row r="522" spans="1:2" x14ac:dyDescent="0.15">
      <c r="A522" s="22">
        <v>41606</v>
      </c>
      <c r="B522">
        <v>1.3604000000000001</v>
      </c>
    </row>
    <row r="523" spans="1:2" x14ac:dyDescent="0.15">
      <c r="A523" s="22">
        <v>41607</v>
      </c>
      <c r="B523">
        <v>1.3589</v>
      </c>
    </row>
    <row r="524" spans="1:2" x14ac:dyDescent="0.15">
      <c r="A524" s="22">
        <v>41610</v>
      </c>
      <c r="B524">
        <v>1.3540000000000001</v>
      </c>
    </row>
    <row r="525" spans="1:2" x14ac:dyDescent="0.15">
      <c r="A525" s="22">
        <v>41611</v>
      </c>
      <c r="B525">
        <v>1.3589</v>
      </c>
    </row>
    <row r="526" spans="1:2" x14ac:dyDescent="0.15">
      <c r="A526" s="22">
        <v>41612</v>
      </c>
      <c r="B526">
        <v>1.3593</v>
      </c>
    </row>
    <row r="527" spans="1:2" x14ac:dyDescent="0.15">
      <c r="A527" s="22">
        <v>41613</v>
      </c>
      <c r="B527">
        <v>1.3667</v>
      </c>
    </row>
    <row r="528" spans="1:2" x14ac:dyDescent="0.15">
      <c r="A528" s="22">
        <v>41614</v>
      </c>
      <c r="B528">
        <v>1.3703000000000001</v>
      </c>
    </row>
    <row r="529" spans="1:2" x14ac:dyDescent="0.15">
      <c r="A529" s="22">
        <v>41617</v>
      </c>
      <c r="B529">
        <v>1.3736999999999999</v>
      </c>
    </row>
    <row r="530" spans="1:2" x14ac:dyDescent="0.15">
      <c r="A530" s="22">
        <v>41618</v>
      </c>
      <c r="B530">
        <v>1.3758999999999999</v>
      </c>
    </row>
    <row r="531" spans="1:2" x14ac:dyDescent="0.15">
      <c r="A531" s="22">
        <v>41619</v>
      </c>
      <c r="B531">
        <v>1.3785000000000001</v>
      </c>
    </row>
    <row r="532" spans="1:2" x14ac:dyDescent="0.15">
      <c r="A532" s="22">
        <v>41620</v>
      </c>
      <c r="B532">
        <v>1.3754</v>
      </c>
    </row>
    <row r="533" spans="1:2" x14ac:dyDescent="0.15">
      <c r="A533" s="22">
        <v>41621</v>
      </c>
      <c r="B533">
        <v>1.3741000000000001</v>
      </c>
    </row>
    <row r="534" spans="1:2" x14ac:dyDescent="0.15">
      <c r="A534" s="22">
        <v>41624</v>
      </c>
      <c r="B534">
        <v>1.3759999999999999</v>
      </c>
    </row>
    <row r="535" spans="1:2" x14ac:dyDescent="0.15">
      <c r="A535" s="22">
        <v>41625</v>
      </c>
      <c r="B535">
        <v>1.3766</v>
      </c>
    </row>
    <row r="536" spans="1:2" x14ac:dyDescent="0.15">
      <c r="A536" s="22">
        <v>41626</v>
      </c>
      <c r="B536">
        <v>1.3683000000000001</v>
      </c>
    </row>
    <row r="537" spans="1:2" x14ac:dyDescent="0.15">
      <c r="A537" s="22">
        <v>41627</v>
      </c>
      <c r="B537">
        <v>1.3662000000000001</v>
      </c>
    </row>
    <row r="538" spans="1:2" x14ac:dyDescent="0.15">
      <c r="A538" s="22">
        <v>41628</v>
      </c>
      <c r="B538">
        <v>1.3671</v>
      </c>
    </row>
    <row r="539" spans="1:2" x14ac:dyDescent="0.15">
      <c r="A539" s="22">
        <v>41631</v>
      </c>
      <c r="B539">
        <v>1.3694999999999999</v>
      </c>
    </row>
    <row r="540" spans="1:2" x14ac:dyDescent="0.15">
      <c r="A540" s="22">
        <v>41632</v>
      </c>
      <c r="B540">
        <v>1.3682000000000001</v>
      </c>
    </row>
    <row r="541" spans="1:2" x14ac:dyDescent="0.15">
      <c r="A541" s="22">
        <v>41633</v>
      </c>
      <c r="B541">
        <v>1.3677999999999999</v>
      </c>
    </row>
    <row r="542" spans="1:2" x14ac:dyDescent="0.15">
      <c r="A542" s="22">
        <v>41634</v>
      </c>
      <c r="B542">
        <v>1.3691</v>
      </c>
    </row>
    <row r="543" spans="1:2" x14ac:dyDescent="0.15">
      <c r="A543" s="22">
        <v>41635</v>
      </c>
      <c r="B543">
        <v>1.3741000000000001</v>
      </c>
    </row>
    <row r="544" spans="1:2" x14ac:dyDescent="0.15">
      <c r="A544" s="22">
        <v>41638</v>
      </c>
      <c r="B544">
        <v>1.3803000000000001</v>
      </c>
    </row>
    <row r="545" spans="1:2" x14ac:dyDescent="0.15">
      <c r="A545" s="22">
        <v>41639</v>
      </c>
      <c r="B545">
        <v>1.3745000000000001</v>
      </c>
    </row>
    <row r="546" spans="1:2" x14ac:dyDescent="0.15">
      <c r="A546" s="22">
        <v>41640</v>
      </c>
      <c r="B546">
        <v>1.3752</v>
      </c>
    </row>
    <row r="547" spans="1:2" x14ac:dyDescent="0.15">
      <c r="A547" s="22">
        <v>41641</v>
      </c>
      <c r="B547">
        <v>1.367</v>
      </c>
    </row>
    <row r="548" spans="1:2" x14ac:dyDescent="0.15">
      <c r="A548" s="22">
        <v>41642</v>
      </c>
      <c r="B548">
        <v>1.3587</v>
      </c>
    </row>
    <row r="549" spans="1:2" x14ac:dyDescent="0.15">
      <c r="A549" s="22">
        <v>41645</v>
      </c>
      <c r="B549">
        <v>1.3627</v>
      </c>
    </row>
    <row r="550" spans="1:2" x14ac:dyDescent="0.15">
      <c r="A550" s="22">
        <v>41646</v>
      </c>
      <c r="B550">
        <v>1.3614999999999999</v>
      </c>
    </row>
    <row r="551" spans="1:2" x14ac:dyDescent="0.15">
      <c r="A551" s="22">
        <v>41647</v>
      </c>
      <c r="B551">
        <v>1.3573999999999999</v>
      </c>
    </row>
    <row r="552" spans="1:2" x14ac:dyDescent="0.15">
      <c r="A552" s="22">
        <v>41648</v>
      </c>
      <c r="B552">
        <v>1.3606</v>
      </c>
    </row>
    <row r="553" spans="1:2" x14ac:dyDescent="0.15">
      <c r="A553" s="22">
        <v>41649</v>
      </c>
      <c r="B553">
        <v>1.3667</v>
      </c>
    </row>
    <row r="554" spans="1:2" x14ac:dyDescent="0.15">
      <c r="A554" s="22">
        <v>41652</v>
      </c>
      <c r="B554">
        <v>1.3671</v>
      </c>
    </row>
    <row r="555" spans="1:2" x14ac:dyDescent="0.15">
      <c r="A555" s="22">
        <v>41653</v>
      </c>
      <c r="B555">
        <v>1.3678999999999999</v>
      </c>
    </row>
    <row r="556" spans="1:2" x14ac:dyDescent="0.15">
      <c r="A556" s="22">
        <v>41654</v>
      </c>
      <c r="B556">
        <v>1.3603000000000001</v>
      </c>
    </row>
    <row r="557" spans="1:2" x14ac:dyDescent="0.15">
      <c r="A557" s="22">
        <v>41655</v>
      </c>
      <c r="B557">
        <v>1.3619000000000001</v>
      </c>
    </row>
    <row r="558" spans="1:2" x14ac:dyDescent="0.15">
      <c r="A558" s="22">
        <v>41656</v>
      </c>
      <c r="B558">
        <v>1.3539000000000001</v>
      </c>
    </row>
    <row r="559" spans="1:2" x14ac:dyDescent="0.15">
      <c r="A559" s="22">
        <v>41659</v>
      </c>
      <c r="B559">
        <v>1.355</v>
      </c>
    </row>
    <row r="560" spans="1:2" x14ac:dyDescent="0.15">
      <c r="A560" s="22">
        <v>41660</v>
      </c>
      <c r="B560">
        <v>1.3559000000000001</v>
      </c>
    </row>
    <row r="561" spans="1:2" x14ac:dyDescent="0.15">
      <c r="A561" s="22">
        <v>41661</v>
      </c>
      <c r="B561">
        <v>1.3546</v>
      </c>
    </row>
    <row r="562" spans="1:2" x14ac:dyDescent="0.15">
      <c r="A562" s="22">
        <v>41662</v>
      </c>
      <c r="B562">
        <v>1.3694</v>
      </c>
    </row>
    <row r="563" spans="1:2" x14ac:dyDescent="0.15">
      <c r="A563" s="22">
        <v>41663</v>
      </c>
      <c r="B563">
        <v>1.3674999999999999</v>
      </c>
    </row>
    <row r="564" spans="1:2" x14ac:dyDescent="0.15">
      <c r="A564" s="22">
        <v>41666</v>
      </c>
      <c r="B564">
        <v>1.367</v>
      </c>
    </row>
    <row r="565" spans="1:2" x14ac:dyDescent="0.15">
      <c r="A565" s="22">
        <v>41667</v>
      </c>
      <c r="B565">
        <v>1.3668</v>
      </c>
    </row>
    <row r="566" spans="1:2" x14ac:dyDescent="0.15">
      <c r="A566" s="22">
        <v>41668</v>
      </c>
      <c r="B566">
        <v>1.3662000000000001</v>
      </c>
    </row>
    <row r="567" spans="1:2" x14ac:dyDescent="0.15">
      <c r="A567" s="22">
        <v>41669</v>
      </c>
      <c r="B567">
        <v>1.3554999999999999</v>
      </c>
    </row>
    <row r="568" spans="1:2" x14ac:dyDescent="0.15">
      <c r="A568" s="22">
        <v>41670</v>
      </c>
      <c r="B568">
        <v>1.3485</v>
      </c>
    </row>
    <row r="569" spans="1:2" x14ac:dyDescent="0.15">
      <c r="A569" s="22">
        <v>41673</v>
      </c>
      <c r="B569">
        <v>1.3524</v>
      </c>
    </row>
    <row r="570" spans="1:2" x14ac:dyDescent="0.15">
      <c r="A570" s="22">
        <v>41674</v>
      </c>
      <c r="B570">
        <v>1.3517999999999999</v>
      </c>
    </row>
    <row r="571" spans="1:2" x14ac:dyDescent="0.15">
      <c r="A571" s="22">
        <v>41675</v>
      </c>
      <c r="B571">
        <v>1.3532</v>
      </c>
    </row>
    <row r="572" spans="1:2" x14ac:dyDescent="0.15">
      <c r="A572" s="22">
        <v>41676</v>
      </c>
      <c r="B572">
        <v>1.3588</v>
      </c>
    </row>
    <row r="573" spans="1:2" x14ac:dyDescent="0.15">
      <c r="A573" s="22">
        <v>41677</v>
      </c>
      <c r="B573">
        <v>1.3633</v>
      </c>
    </row>
    <row r="574" spans="1:2" x14ac:dyDescent="0.15">
      <c r="A574" s="22">
        <v>41680</v>
      </c>
      <c r="B574">
        <v>1.3644000000000001</v>
      </c>
    </row>
    <row r="575" spans="1:2" x14ac:dyDescent="0.15">
      <c r="A575" s="22">
        <v>41681</v>
      </c>
      <c r="B575">
        <v>1.3635999999999999</v>
      </c>
    </row>
    <row r="576" spans="1:2" x14ac:dyDescent="0.15">
      <c r="A576" s="22">
        <v>41682</v>
      </c>
      <c r="B576">
        <v>1.3592</v>
      </c>
    </row>
    <row r="577" spans="1:2" x14ac:dyDescent="0.15">
      <c r="A577" s="22">
        <v>41683</v>
      </c>
      <c r="B577">
        <v>1.3678999999999999</v>
      </c>
    </row>
    <row r="578" spans="1:2" x14ac:dyDescent="0.15">
      <c r="A578" s="22">
        <v>41684</v>
      </c>
      <c r="B578">
        <v>1.369</v>
      </c>
    </row>
    <row r="579" spans="1:2" x14ac:dyDescent="0.15">
      <c r="A579" s="22">
        <v>41687</v>
      </c>
      <c r="B579">
        <v>1.3706</v>
      </c>
    </row>
    <row r="580" spans="1:2" x14ac:dyDescent="0.15">
      <c r="A580" s="22">
        <v>41688</v>
      </c>
      <c r="B580">
        <v>1.3756999999999999</v>
      </c>
    </row>
    <row r="581" spans="1:2" x14ac:dyDescent="0.15">
      <c r="A581" s="22">
        <v>41689</v>
      </c>
      <c r="B581">
        <v>1.3732</v>
      </c>
    </row>
    <row r="582" spans="1:2" x14ac:dyDescent="0.15">
      <c r="A582" s="22">
        <v>41690</v>
      </c>
      <c r="B582">
        <v>1.3717999999999999</v>
      </c>
    </row>
    <row r="583" spans="1:2" x14ac:dyDescent="0.15">
      <c r="A583" s="22">
        <v>41691</v>
      </c>
      <c r="B583">
        <v>1.3736999999999999</v>
      </c>
    </row>
    <row r="584" spans="1:2" x14ac:dyDescent="0.15">
      <c r="A584" s="22">
        <v>41694</v>
      </c>
      <c r="B584">
        <v>1.3734</v>
      </c>
    </row>
    <row r="585" spans="1:2" x14ac:dyDescent="0.15">
      <c r="A585" s="22">
        <v>41695</v>
      </c>
      <c r="B585">
        <v>1.3745000000000001</v>
      </c>
    </row>
    <row r="586" spans="1:2" x14ac:dyDescent="0.15">
      <c r="A586" s="22">
        <v>41696</v>
      </c>
      <c r="B586">
        <v>1.3687</v>
      </c>
    </row>
    <row r="587" spans="1:2" x14ac:dyDescent="0.15">
      <c r="A587" s="22">
        <v>41697</v>
      </c>
      <c r="B587">
        <v>1.3708</v>
      </c>
    </row>
    <row r="588" spans="1:2" x14ac:dyDescent="0.15">
      <c r="A588" s="22">
        <v>41698</v>
      </c>
      <c r="B588">
        <v>1.3802000000000001</v>
      </c>
    </row>
    <row r="589" spans="1:2" x14ac:dyDescent="0.15">
      <c r="A589" s="22">
        <v>41701</v>
      </c>
      <c r="B589">
        <v>1.3734</v>
      </c>
    </row>
    <row r="590" spans="1:2" x14ac:dyDescent="0.15">
      <c r="A590" s="22">
        <v>41702</v>
      </c>
      <c r="B590">
        <v>1.3742000000000001</v>
      </c>
    </row>
    <row r="591" spans="1:2" x14ac:dyDescent="0.15">
      <c r="A591" s="22">
        <v>41703</v>
      </c>
      <c r="B591">
        <v>1.3732</v>
      </c>
    </row>
    <row r="592" spans="1:2" x14ac:dyDescent="0.15">
      <c r="A592" s="22">
        <v>41704</v>
      </c>
      <c r="B592">
        <v>1.3857999999999999</v>
      </c>
    </row>
    <row r="593" spans="1:2" x14ac:dyDescent="0.15">
      <c r="A593" s="22">
        <v>41705</v>
      </c>
      <c r="B593">
        <v>1.3875999999999999</v>
      </c>
    </row>
    <row r="594" spans="1:2" x14ac:dyDescent="0.15">
      <c r="A594" s="22">
        <v>41708</v>
      </c>
      <c r="B594">
        <v>1.3875999999999999</v>
      </c>
    </row>
    <row r="595" spans="1:2" x14ac:dyDescent="0.15">
      <c r="A595" s="22">
        <v>41709</v>
      </c>
      <c r="B595">
        <v>1.3858999999999999</v>
      </c>
    </row>
    <row r="596" spans="1:2" x14ac:dyDescent="0.15">
      <c r="A596" s="22">
        <v>41710</v>
      </c>
      <c r="B596">
        <v>1.3903000000000001</v>
      </c>
    </row>
    <row r="597" spans="1:2" x14ac:dyDescent="0.15">
      <c r="A597" s="22">
        <v>41711</v>
      </c>
      <c r="B597">
        <v>1.3868</v>
      </c>
    </row>
    <row r="598" spans="1:2" x14ac:dyDescent="0.15">
      <c r="A598" s="22">
        <v>41712</v>
      </c>
      <c r="B598">
        <v>1.3914</v>
      </c>
    </row>
    <row r="599" spans="1:2" x14ac:dyDescent="0.15">
      <c r="A599" s="22">
        <v>41715</v>
      </c>
      <c r="B599">
        <v>1.3919999999999999</v>
      </c>
    </row>
    <row r="600" spans="1:2" x14ac:dyDescent="0.15">
      <c r="A600" s="22">
        <v>41716</v>
      </c>
      <c r="B600">
        <v>1.3933</v>
      </c>
    </row>
    <row r="601" spans="1:2" x14ac:dyDescent="0.15">
      <c r="A601" s="22">
        <v>41717</v>
      </c>
      <c r="B601">
        <v>1.3832</v>
      </c>
    </row>
    <row r="602" spans="1:2" x14ac:dyDescent="0.15">
      <c r="A602" s="22">
        <v>41718</v>
      </c>
      <c r="B602">
        <v>1.3777999999999999</v>
      </c>
    </row>
    <row r="603" spans="1:2" x14ac:dyDescent="0.15">
      <c r="A603" s="22">
        <v>41719</v>
      </c>
      <c r="B603">
        <v>1.3791</v>
      </c>
    </row>
    <row r="604" spans="1:2" x14ac:dyDescent="0.15">
      <c r="A604" s="22">
        <v>41722</v>
      </c>
      <c r="B604">
        <v>1.3837999999999999</v>
      </c>
    </row>
    <row r="605" spans="1:2" x14ac:dyDescent="0.15">
      <c r="A605" s="22">
        <v>41723</v>
      </c>
      <c r="B605">
        <v>1.3825000000000001</v>
      </c>
    </row>
    <row r="606" spans="1:2" x14ac:dyDescent="0.15">
      <c r="A606" s="22">
        <v>41724</v>
      </c>
      <c r="B606">
        <v>1.3781000000000001</v>
      </c>
    </row>
    <row r="607" spans="1:2" x14ac:dyDescent="0.15">
      <c r="A607" s="22">
        <v>41725</v>
      </c>
      <c r="B607">
        <v>1.3738999999999999</v>
      </c>
    </row>
    <row r="608" spans="1:2" x14ac:dyDescent="0.15">
      <c r="A608" s="22">
        <v>41726</v>
      </c>
      <c r="B608">
        <v>1.3752</v>
      </c>
    </row>
    <row r="609" spans="1:2" x14ac:dyDescent="0.15">
      <c r="A609" s="22">
        <v>41729</v>
      </c>
      <c r="B609">
        <v>1.377</v>
      </c>
    </row>
    <row r="610" spans="1:2" x14ac:dyDescent="0.15">
      <c r="A610" s="22">
        <v>41730</v>
      </c>
      <c r="B610">
        <v>1.3792</v>
      </c>
    </row>
    <row r="611" spans="1:2" x14ac:dyDescent="0.15">
      <c r="A611" s="22">
        <v>41731</v>
      </c>
      <c r="B611">
        <v>1.3766</v>
      </c>
    </row>
    <row r="612" spans="1:2" x14ac:dyDescent="0.15">
      <c r="A612" s="22">
        <v>41732</v>
      </c>
      <c r="B612">
        <v>1.3717999999999999</v>
      </c>
    </row>
    <row r="613" spans="1:2" x14ac:dyDescent="0.15">
      <c r="A613" s="22">
        <v>41733</v>
      </c>
      <c r="B613">
        <v>1.3702000000000001</v>
      </c>
    </row>
    <row r="614" spans="1:2" x14ac:dyDescent="0.15">
      <c r="A614" s="22">
        <v>41736</v>
      </c>
      <c r="B614">
        <v>1.3740000000000001</v>
      </c>
    </row>
    <row r="615" spans="1:2" x14ac:dyDescent="0.15">
      <c r="A615" s="22">
        <v>41737</v>
      </c>
      <c r="B615">
        <v>1.3794</v>
      </c>
    </row>
    <row r="616" spans="1:2" x14ac:dyDescent="0.15">
      <c r="A616" s="22">
        <v>41738</v>
      </c>
      <c r="B616">
        <v>1.3855</v>
      </c>
    </row>
    <row r="617" spans="1:2" x14ac:dyDescent="0.15">
      <c r="A617" s="22">
        <v>41739</v>
      </c>
      <c r="B617">
        <v>1.3887</v>
      </c>
    </row>
    <row r="618" spans="1:2" x14ac:dyDescent="0.15">
      <c r="A618" s="22">
        <v>41740</v>
      </c>
      <c r="B618">
        <v>1.3883000000000001</v>
      </c>
    </row>
    <row r="619" spans="1:2" x14ac:dyDescent="0.15">
      <c r="A619" s="22">
        <v>41743</v>
      </c>
      <c r="B619">
        <v>1.3817999999999999</v>
      </c>
    </row>
    <row r="620" spans="1:2" x14ac:dyDescent="0.15">
      <c r="A620" s="22">
        <v>41744</v>
      </c>
      <c r="B620">
        <v>1.3812</v>
      </c>
    </row>
    <row r="621" spans="1:2" x14ac:dyDescent="0.15">
      <c r="A621" s="22">
        <v>41745</v>
      </c>
      <c r="B621">
        <v>1.3814</v>
      </c>
    </row>
    <row r="622" spans="1:2" x14ac:dyDescent="0.15">
      <c r="A622" s="22">
        <v>41746</v>
      </c>
      <c r="B622">
        <v>1.3814</v>
      </c>
    </row>
    <row r="623" spans="1:2" x14ac:dyDescent="0.15">
      <c r="A623" s="22">
        <v>41747</v>
      </c>
      <c r="B623">
        <v>1.3813</v>
      </c>
    </row>
    <row r="624" spans="1:2" x14ac:dyDescent="0.15">
      <c r="A624" s="22">
        <v>41750</v>
      </c>
      <c r="B624">
        <v>1.3791</v>
      </c>
    </row>
    <row r="625" spans="1:2" x14ac:dyDescent="0.15">
      <c r="A625" s="22">
        <v>41751</v>
      </c>
      <c r="B625">
        <v>1.3803000000000001</v>
      </c>
    </row>
    <row r="626" spans="1:2" x14ac:dyDescent="0.15">
      <c r="A626" s="22">
        <v>41752</v>
      </c>
      <c r="B626">
        <v>1.3815999999999999</v>
      </c>
    </row>
    <row r="627" spans="1:2" x14ac:dyDescent="0.15">
      <c r="A627" s="22">
        <v>41753</v>
      </c>
      <c r="B627">
        <v>1.383</v>
      </c>
    </row>
    <row r="628" spans="1:2" x14ac:dyDescent="0.15">
      <c r="A628" s="22">
        <v>41754</v>
      </c>
      <c r="B628">
        <v>1.3831</v>
      </c>
    </row>
    <row r="629" spans="1:2" x14ac:dyDescent="0.15">
      <c r="A629" s="22">
        <v>41757</v>
      </c>
      <c r="B629">
        <v>1.3849</v>
      </c>
    </row>
    <row r="630" spans="1:2" x14ac:dyDescent="0.15">
      <c r="A630" s="22">
        <v>41758</v>
      </c>
      <c r="B630">
        <v>1.3811</v>
      </c>
    </row>
    <row r="631" spans="1:2" x14ac:dyDescent="0.15">
      <c r="A631" s="22">
        <v>41759</v>
      </c>
      <c r="B631">
        <v>1.3866000000000001</v>
      </c>
    </row>
    <row r="632" spans="1:2" x14ac:dyDescent="0.15">
      <c r="A632" s="22">
        <v>41760</v>
      </c>
      <c r="B632">
        <v>1.3869</v>
      </c>
    </row>
    <row r="633" spans="1:2" x14ac:dyDescent="0.15">
      <c r="A633" s="22">
        <v>41761</v>
      </c>
      <c r="B633">
        <v>1.387</v>
      </c>
    </row>
    <row r="634" spans="1:2" x14ac:dyDescent="0.15">
      <c r="A634" s="22">
        <v>41764</v>
      </c>
      <c r="B634">
        <v>1.3874</v>
      </c>
    </row>
    <row r="635" spans="1:2" x14ac:dyDescent="0.15">
      <c r="A635" s="22">
        <v>41765</v>
      </c>
      <c r="B635">
        <v>1.3927</v>
      </c>
    </row>
    <row r="636" spans="1:2" x14ac:dyDescent="0.15">
      <c r="A636" s="22">
        <v>41766</v>
      </c>
      <c r="B636">
        <v>1.391</v>
      </c>
    </row>
    <row r="637" spans="1:2" x14ac:dyDescent="0.15">
      <c r="A637" s="22">
        <v>41767</v>
      </c>
      <c r="B637">
        <v>1.3839999999999999</v>
      </c>
    </row>
    <row r="638" spans="1:2" x14ac:dyDescent="0.15">
      <c r="A638" s="22">
        <v>41768</v>
      </c>
      <c r="B638">
        <v>1.3756999999999999</v>
      </c>
    </row>
    <row r="639" spans="1:2" x14ac:dyDescent="0.15">
      <c r="A639" s="22">
        <v>41771</v>
      </c>
      <c r="B639">
        <v>1.3755999999999999</v>
      </c>
    </row>
    <row r="640" spans="1:2" x14ac:dyDescent="0.15">
      <c r="A640" s="22">
        <v>41772</v>
      </c>
      <c r="B640">
        <v>1.3702000000000001</v>
      </c>
    </row>
    <row r="641" spans="1:2" x14ac:dyDescent="0.15">
      <c r="A641" s="22">
        <v>41773</v>
      </c>
      <c r="B641">
        <v>1.3714</v>
      </c>
    </row>
    <row r="642" spans="1:2" x14ac:dyDescent="0.15">
      <c r="A642" s="22">
        <v>41774</v>
      </c>
      <c r="B642">
        <v>1.371</v>
      </c>
    </row>
    <row r="643" spans="1:2" x14ac:dyDescent="0.15">
      <c r="A643" s="22">
        <v>41775</v>
      </c>
      <c r="B643">
        <v>1.3692</v>
      </c>
    </row>
    <row r="644" spans="1:2" x14ac:dyDescent="0.15">
      <c r="A644" s="22">
        <v>41778</v>
      </c>
      <c r="B644">
        <v>1.3707</v>
      </c>
    </row>
    <row r="645" spans="1:2" x14ac:dyDescent="0.15">
      <c r="A645" s="22">
        <v>41779</v>
      </c>
      <c r="B645">
        <v>1.3702000000000001</v>
      </c>
    </row>
    <row r="646" spans="1:2" x14ac:dyDescent="0.15">
      <c r="A646" s="22">
        <v>41780</v>
      </c>
      <c r="B646">
        <v>1.3686</v>
      </c>
    </row>
    <row r="647" spans="1:2" x14ac:dyDescent="0.15">
      <c r="A647" s="22">
        <v>41781</v>
      </c>
      <c r="B647">
        <v>1.3653999999999999</v>
      </c>
    </row>
    <row r="648" spans="1:2" x14ac:dyDescent="0.15">
      <c r="A648" s="22">
        <v>41782</v>
      </c>
      <c r="B648">
        <v>1.3633</v>
      </c>
    </row>
    <row r="649" spans="1:2" x14ac:dyDescent="0.15">
      <c r="A649" s="22">
        <v>41785</v>
      </c>
      <c r="B649">
        <v>1.3645</v>
      </c>
    </row>
    <row r="650" spans="1:2" x14ac:dyDescent="0.15">
      <c r="A650" s="22">
        <v>41786</v>
      </c>
      <c r="B650">
        <v>1.3632</v>
      </c>
    </row>
    <row r="651" spans="1:2" x14ac:dyDescent="0.15">
      <c r="A651" s="22">
        <v>41787</v>
      </c>
      <c r="B651">
        <v>1.3589</v>
      </c>
    </row>
    <row r="652" spans="1:2" x14ac:dyDescent="0.15">
      <c r="A652" s="22">
        <v>41788</v>
      </c>
      <c r="B652">
        <v>1.3601000000000001</v>
      </c>
    </row>
    <row r="653" spans="1:2" x14ac:dyDescent="0.15">
      <c r="A653" s="22">
        <v>41789</v>
      </c>
      <c r="B653">
        <v>1.363</v>
      </c>
    </row>
    <row r="654" spans="1:2" x14ac:dyDescent="0.15">
      <c r="A654" s="22">
        <v>41792</v>
      </c>
      <c r="B654">
        <v>1.3593999999999999</v>
      </c>
    </row>
    <row r="655" spans="1:2" x14ac:dyDescent="0.15">
      <c r="A655" s="22">
        <v>41793</v>
      </c>
      <c r="B655">
        <v>1.3627</v>
      </c>
    </row>
    <row r="656" spans="1:2" x14ac:dyDescent="0.15">
      <c r="A656" s="22">
        <v>41794</v>
      </c>
      <c r="B656">
        <v>1.3597999999999999</v>
      </c>
    </row>
    <row r="657" spans="1:2" x14ac:dyDescent="0.15">
      <c r="A657" s="22">
        <v>41795</v>
      </c>
      <c r="B657">
        <v>1.3657999999999999</v>
      </c>
    </row>
    <row r="658" spans="1:2" x14ac:dyDescent="0.15">
      <c r="A658" s="22">
        <v>41796</v>
      </c>
      <c r="B658">
        <v>1.3641000000000001</v>
      </c>
    </row>
    <row r="659" spans="1:2" x14ac:dyDescent="0.15">
      <c r="A659" s="22">
        <v>41799</v>
      </c>
      <c r="B659">
        <v>1.3592</v>
      </c>
    </row>
    <row r="660" spans="1:2" x14ac:dyDescent="0.15">
      <c r="A660" s="22">
        <v>41800</v>
      </c>
      <c r="B660">
        <v>1.3547</v>
      </c>
    </row>
    <row r="661" spans="1:2" x14ac:dyDescent="0.15">
      <c r="A661" s="22">
        <v>41801</v>
      </c>
      <c r="B661">
        <v>1.3532</v>
      </c>
    </row>
    <row r="662" spans="1:2" x14ac:dyDescent="0.15">
      <c r="A662" s="22">
        <v>41802</v>
      </c>
      <c r="B662">
        <v>1.3551</v>
      </c>
    </row>
    <row r="663" spans="1:2" x14ac:dyDescent="0.15">
      <c r="A663" s="22">
        <v>41803</v>
      </c>
      <c r="B663">
        <v>1.3542000000000001</v>
      </c>
    </row>
    <row r="664" spans="1:2" x14ac:dyDescent="0.15">
      <c r="A664" s="22">
        <v>41806</v>
      </c>
      <c r="B664">
        <v>1.3573</v>
      </c>
    </row>
    <row r="665" spans="1:2" x14ac:dyDescent="0.15">
      <c r="A665" s="22">
        <v>41807</v>
      </c>
      <c r="B665">
        <v>1.3545</v>
      </c>
    </row>
    <row r="666" spans="1:2" x14ac:dyDescent="0.15">
      <c r="A666" s="22">
        <v>41808</v>
      </c>
      <c r="B666">
        <v>1.3594999999999999</v>
      </c>
    </row>
    <row r="667" spans="1:2" x14ac:dyDescent="0.15">
      <c r="A667" s="22">
        <v>41809</v>
      </c>
      <c r="B667">
        <v>1.3608</v>
      </c>
    </row>
    <row r="668" spans="1:2" x14ac:dyDescent="0.15">
      <c r="A668" s="22">
        <v>41810</v>
      </c>
      <c r="B668">
        <v>1.3599000000000001</v>
      </c>
    </row>
    <row r="669" spans="1:2" x14ac:dyDescent="0.15">
      <c r="A669" s="22">
        <v>41813</v>
      </c>
      <c r="B669">
        <v>1.3603000000000001</v>
      </c>
    </row>
    <row r="670" spans="1:2" x14ac:dyDescent="0.15">
      <c r="A670" s="22">
        <v>41814</v>
      </c>
      <c r="B670">
        <v>1.3605</v>
      </c>
    </row>
    <row r="671" spans="1:2" x14ac:dyDescent="0.15">
      <c r="A671" s="22">
        <v>41815</v>
      </c>
      <c r="B671">
        <v>1.3629</v>
      </c>
    </row>
    <row r="672" spans="1:2" x14ac:dyDescent="0.15">
      <c r="A672" s="22">
        <v>41816</v>
      </c>
      <c r="B672">
        <v>1.3611</v>
      </c>
    </row>
    <row r="673" spans="1:2" x14ac:dyDescent="0.15">
      <c r="A673" s="22">
        <v>41817</v>
      </c>
      <c r="B673">
        <v>1.3647</v>
      </c>
    </row>
    <row r="674" spans="1:2" x14ac:dyDescent="0.15">
      <c r="A674" s="22">
        <v>41820</v>
      </c>
      <c r="B674">
        <v>1.3691</v>
      </c>
    </row>
    <row r="675" spans="1:2" x14ac:dyDescent="0.15">
      <c r="A675" s="22">
        <v>41821</v>
      </c>
      <c r="B675">
        <v>1.3678999999999999</v>
      </c>
    </row>
    <row r="676" spans="1:2" x14ac:dyDescent="0.15">
      <c r="A676" s="22">
        <v>41822</v>
      </c>
      <c r="B676">
        <v>1.3658999999999999</v>
      </c>
    </row>
    <row r="677" spans="1:2" x14ac:dyDescent="0.15">
      <c r="A677" s="22">
        <v>41823</v>
      </c>
      <c r="B677">
        <v>1.361</v>
      </c>
    </row>
    <row r="678" spans="1:2" x14ac:dyDescent="0.15">
      <c r="A678" s="22">
        <v>41824</v>
      </c>
      <c r="B678">
        <v>1.3593</v>
      </c>
    </row>
    <row r="679" spans="1:2" x14ac:dyDescent="0.15">
      <c r="A679" s="22">
        <v>41827</v>
      </c>
      <c r="B679">
        <v>1.3604000000000001</v>
      </c>
    </row>
    <row r="680" spans="1:2" x14ac:dyDescent="0.15">
      <c r="A680" s="22">
        <v>41828</v>
      </c>
      <c r="B680">
        <v>1.3611</v>
      </c>
    </row>
    <row r="681" spans="1:2" x14ac:dyDescent="0.15">
      <c r="A681" s="22">
        <v>41829</v>
      </c>
      <c r="B681">
        <v>1.3644000000000001</v>
      </c>
    </row>
    <row r="682" spans="1:2" x14ac:dyDescent="0.15">
      <c r="A682" s="22">
        <v>41830</v>
      </c>
      <c r="B682">
        <v>1.3609</v>
      </c>
    </row>
    <row r="683" spans="1:2" x14ac:dyDescent="0.15">
      <c r="A683" s="22">
        <v>41831</v>
      </c>
      <c r="B683">
        <v>1.3608</v>
      </c>
    </row>
    <row r="684" spans="1:2" x14ac:dyDescent="0.15">
      <c r="A684" s="22">
        <v>41834</v>
      </c>
      <c r="B684">
        <v>1.3619000000000001</v>
      </c>
    </row>
    <row r="685" spans="1:2" x14ac:dyDescent="0.15">
      <c r="A685" s="22">
        <v>41835</v>
      </c>
      <c r="B685">
        <v>1.3571</v>
      </c>
    </row>
    <row r="686" spans="1:2" x14ac:dyDescent="0.15">
      <c r="A686" s="22">
        <v>41836</v>
      </c>
      <c r="B686">
        <v>1.3525</v>
      </c>
    </row>
    <row r="687" spans="1:2" x14ac:dyDescent="0.15">
      <c r="A687" s="22">
        <v>41837</v>
      </c>
      <c r="B687">
        <v>1.3526</v>
      </c>
    </row>
    <row r="688" spans="1:2" x14ac:dyDescent="0.15">
      <c r="A688" s="22">
        <v>41838</v>
      </c>
      <c r="B688">
        <v>1.3524</v>
      </c>
    </row>
    <row r="689" spans="1:2" x14ac:dyDescent="0.15">
      <c r="A689" s="22">
        <v>41841</v>
      </c>
      <c r="B689">
        <v>1.3523000000000001</v>
      </c>
    </row>
    <row r="690" spans="1:2" x14ac:dyDescent="0.15">
      <c r="A690" s="22">
        <v>41842</v>
      </c>
      <c r="B690">
        <v>1.3464</v>
      </c>
    </row>
    <row r="691" spans="1:2" x14ac:dyDescent="0.15">
      <c r="A691" s="22">
        <v>41843</v>
      </c>
      <c r="B691">
        <v>1.3464</v>
      </c>
    </row>
    <row r="692" spans="1:2" x14ac:dyDescent="0.15">
      <c r="A692" s="22">
        <v>41844</v>
      </c>
      <c r="B692">
        <v>1.3463000000000001</v>
      </c>
    </row>
    <row r="693" spans="1:2" x14ac:dyDescent="0.15">
      <c r="A693" s="22">
        <v>41845</v>
      </c>
      <c r="B693">
        <v>1.3429</v>
      </c>
    </row>
    <row r="694" spans="1:2" x14ac:dyDescent="0.15">
      <c r="A694" s="22">
        <v>41848</v>
      </c>
      <c r="B694">
        <v>1.3439000000000001</v>
      </c>
    </row>
    <row r="695" spans="1:2" x14ac:dyDescent="0.15">
      <c r="A695" s="22">
        <v>41849</v>
      </c>
      <c r="B695">
        <v>1.3409</v>
      </c>
    </row>
    <row r="696" spans="1:2" x14ac:dyDescent="0.15">
      <c r="A696" s="22">
        <v>41850</v>
      </c>
      <c r="B696">
        <v>1.3395999999999999</v>
      </c>
    </row>
    <row r="697" spans="1:2" x14ac:dyDescent="0.15">
      <c r="A697" s="22">
        <v>41851</v>
      </c>
      <c r="B697">
        <v>1.3388</v>
      </c>
    </row>
    <row r="698" spans="1:2" x14ac:dyDescent="0.15">
      <c r="A698" s="22">
        <v>41852</v>
      </c>
      <c r="B698">
        <v>1.3429</v>
      </c>
    </row>
    <row r="699" spans="1:2" x14ac:dyDescent="0.15">
      <c r="A699" s="22">
        <v>41855</v>
      </c>
      <c r="B699">
        <v>1.3421000000000001</v>
      </c>
    </row>
    <row r="700" spans="1:2" x14ac:dyDescent="0.15">
      <c r="A700" s="22">
        <v>41856</v>
      </c>
      <c r="B700">
        <v>1.3374999999999999</v>
      </c>
    </row>
    <row r="701" spans="1:2" x14ac:dyDescent="0.15">
      <c r="A701" s="22">
        <v>41857</v>
      </c>
      <c r="B701">
        <v>1.3381000000000001</v>
      </c>
    </row>
    <row r="702" spans="1:2" x14ac:dyDescent="0.15">
      <c r="A702" s="22">
        <v>41858</v>
      </c>
      <c r="B702">
        <v>1.3362000000000001</v>
      </c>
    </row>
    <row r="703" spans="1:2" x14ac:dyDescent="0.15">
      <c r="A703" s="22">
        <v>41859</v>
      </c>
      <c r="B703">
        <v>1.341</v>
      </c>
    </row>
    <row r="704" spans="1:2" x14ac:dyDescent="0.15">
      <c r="A704" s="22">
        <v>41862</v>
      </c>
      <c r="B704">
        <v>1.3385</v>
      </c>
    </row>
    <row r="705" spans="1:2" x14ac:dyDescent="0.15">
      <c r="A705" s="22">
        <v>41863</v>
      </c>
      <c r="B705">
        <v>1.3369</v>
      </c>
    </row>
    <row r="706" spans="1:2" x14ac:dyDescent="0.15">
      <c r="A706" s="22">
        <v>41864</v>
      </c>
      <c r="B706">
        <v>1.3364</v>
      </c>
    </row>
    <row r="707" spans="1:2" x14ac:dyDescent="0.15">
      <c r="A707" s="22">
        <v>41865</v>
      </c>
      <c r="B707">
        <v>1.3362000000000001</v>
      </c>
    </row>
    <row r="708" spans="1:2" x14ac:dyDescent="0.15">
      <c r="A708" s="22">
        <v>41866</v>
      </c>
      <c r="B708">
        <v>1.3398000000000001</v>
      </c>
    </row>
    <row r="709" spans="1:2" x14ac:dyDescent="0.15">
      <c r="A709" s="22">
        <v>41869</v>
      </c>
      <c r="B709">
        <v>1.3362000000000001</v>
      </c>
    </row>
    <row r="710" spans="1:2" x14ac:dyDescent="0.15">
      <c r="A710" s="22">
        <v>41870</v>
      </c>
      <c r="B710">
        <v>1.3319000000000001</v>
      </c>
    </row>
    <row r="711" spans="1:2" x14ac:dyDescent="0.15">
      <c r="A711" s="22">
        <v>41871</v>
      </c>
      <c r="B711">
        <v>1.3258000000000001</v>
      </c>
    </row>
    <row r="712" spans="1:2" x14ac:dyDescent="0.15">
      <c r="A712" s="22">
        <v>41872</v>
      </c>
      <c r="B712">
        <v>1.3281000000000001</v>
      </c>
    </row>
    <row r="713" spans="1:2" x14ac:dyDescent="0.15">
      <c r="A713" s="22">
        <v>41873</v>
      </c>
      <c r="B713">
        <v>1.3242</v>
      </c>
    </row>
    <row r="714" spans="1:2" x14ac:dyDescent="0.15">
      <c r="A714" s="22">
        <v>41876</v>
      </c>
      <c r="B714">
        <v>1.3190999999999999</v>
      </c>
    </row>
    <row r="715" spans="1:2" x14ac:dyDescent="0.15">
      <c r="A715" s="22">
        <v>41877</v>
      </c>
      <c r="B715">
        <v>1.3167</v>
      </c>
    </row>
    <row r="716" spans="1:2" x14ac:dyDescent="0.15">
      <c r="A716" s="22">
        <v>41878</v>
      </c>
      <c r="B716">
        <v>1.3191999999999999</v>
      </c>
    </row>
    <row r="717" spans="1:2" x14ac:dyDescent="0.15">
      <c r="A717" s="22">
        <v>41879</v>
      </c>
      <c r="B717">
        <v>1.3182</v>
      </c>
    </row>
    <row r="718" spans="1:2" x14ac:dyDescent="0.15">
      <c r="A718" s="22">
        <v>41880</v>
      </c>
      <c r="B718">
        <v>1.3131999999999999</v>
      </c>
    </row>
    <row r="719" spans="1:2" x14ac:dyDescent="0.15">
      <c r="A719" s="22">
        <v>41883</v>
      </c>
      <c r="B719">
        <v>1.3127</v>
      </c>
    </row>
    <row r="720" spans="1:2" x14ac:dyDescent="0.15">
      <c r="A720" s="22">
        <v>41884</v>
      </c>
      <c r="B720">
        <v>1.3130999999999999</v>
      </c>
    </row>
    <row r="721" spans="1:2" x14ac:dyDescent="0.15">
      <c r="A721" s="22">
        <v>41885</v>
      </c>
      <c r="B721">
        <v>1.3149999999999999</v>
      </c>
    </row>
    <row r="722" spans="1:2" x14ac:dyDescent="0.15">
      <c r="A722" s="22">
        <v>41886</v>
      </c>
      <c r="B722">
        <v>1.2944</v>
      </c>
    </row>
    <row r="723" spans="1:2" x14ac:dyDescent="0.15">
      <c r="A723" s="22">
        <v>41887</v>
      </c>
      <c r="B723">
        <v>1.2949999999999999</v>
      </c>
    </row>
    <row r="724" spans="1:2" x14ac:dyDescent="0.15">
      <c r="A724" s="22">
        <v>41890</v>
      </c>
      <c r="B724">
        <v>1.2896000000000001</v>
      </c>
    </row>
    <row r="725" spans="1:2" x14ac:dyDescent="0.15">
      <c r="A725" s="22">
        <v>41891</v>
      </c>
      <c r="B725">
        <v>1.2935000000000001</v>
      </c>
    </row>
    <row r="726" spans="1:2" x14ac:dyDescent="0.15">
      <c r="A726" s="22">
        <v>41892</v>
      </c>
      <c r="B726">
        <v>1.2916000000000001</v>
      </c>
    </row>
    <row r="727" spans="1:2" x14ac:dyDescent="0.15">
      <c r="A727" s="22">
        <v>41893</v>
      </c>
      <c r="B727">
        <v>1.2925</v>
      </c>
    </row>
    <row r="728" spans="1:2" x14ac:dyDescent="0.15">
      <c r="A728" s="22">
        <v>41894</v>
      </c>
      <c r="B728">
        <v>1.2964</v>
      </c>
    </row>
    <row r="729" spans="1:2" x14ac:dyDescent="0.15">
      <c r="A729" s="22">
        <v>41897</v>
      </c>
      <c r="B729">
        <v>1.294</v>
      </c>
    </row>
    <row r="730" spans="1:2" x14ac:dyDescent="0.15">
      <c r="A730" s="22">
        <v>41898</v>
      </c>
      <c r="B730">
        <v>1.2959000000000001</v>
      </c>
    </row>
    <row r="731" spans="1:2" x14ac:dyDescent="0.15">
      <c r="A731" s="22">
        <v>41899</v>
      </c>
      <c r="B731">
        <v>1.2865</v>
      </c>
    </row>
    <row r="732" spans="1:2" x14ac:dyDescent="0.15">
      <c r="A732" s="22">
        <v>41900</v>
      </c>
      <c r="B732">
        <v>1.2922</v>
      </c>
    </row>
    <row r="733" spans="1:2" x14ac:dyDescent="0.15">
      <c r="A733" s="22">
        <v>41901</v>
      </c>
      <c r="B733">
        <v>1.2827999999999999</v>
      </c>
    </row>
    <row r="734" spans="1:2" x14ac:dyDescent="0.15">
      <c r="A734" s="22">
        <v>41904</v>
      </c>
      <c r="B734">
        <v>1.2848999999999999</v>
      </c>
    </row>
    <row r="735" spans="1:2" x14ac:dyDescent="0.15">
      <c r="A735" s="22">
        <v>41905</v>
      </c>
      <c r="B735">
        <v>1.2845</v>
      </c>
    </row>
    <row r="736" spans="1:2" x14ac:dyDescent="0.15">
      <c r="A736" s="22">
        <v>41906</v>
      </c>
      <c r="B736">
        <v>1.2779</v>
      </c>
    </row>
    <row r="737" spans="1:2" x14ac:dyDescent="0.15">
      <c r="A737" s="22">
        <v>41907</v>
      </c>
      <c r="B737">
        <v>1.2748999999999999</v>
      </c>
    </row>
    <row r="738" spans="1:2" x14ac:dyDescent="0.15">
      <c r="A738" s="22">
        <v>41908</v>
      </c>
      <c r="B738">
        <v>1.2683</v>
      </c>
    </row>
    <row r="739" spans="1:2" x14ac:dyDescent="0.15">
      <c r="A739" s="22">
        <v>41911</v>
      </c>
      <c r="B739">
        <v>1.2684</v>
      </c>
    </row>
    <row r="740" spans="1:2" x14ac:dyDescent="0.15">
      <c r="A740" s="22">
        <v>41912</v>
      </c>
      <c r="B740">
        <v>1.2630999999999999</v>
      </c>
    </row>
    <row r="741" spans="1:2" x14ac:dyDescent="0.15">
      <c r="A741" s="22">
        <v>41913</v>
      </c>
      <c r="B741">
        <v>1.2623</v>
      </c>
    </row>
    <row r="742" spans="1:2" x14ac:dyDescent="0.15">
      <c r="A742" s="22">
        <v>41914</v>
      </c>
      <c r="B742">
        <v>1.2667999999999999</v>
      </c>
    </row>
    <row r="743" spans="1:2" x14ac:dyDescent="0.15">
      <c r="A743" s="22">
        <v>41915</v>
      </c>
      <c r="B743">
        <v>1.2516</v>
      </c>
    </row>
    <row r="744" spans="1:2" x14ac:dyDescent="0.15">
      <c r="A744" s="22">
        <v>41918</v>
      </c>
      <c r="B744">
        <v>1.2652000000000001</v>
      </c>
    </row>
    <row r="745" spans="1:2" x14ac:dyDescent="0.15">
      <c r="A745" s="22">
        <v>41919</v>
      </c>
      <c r="B745">
        <v>1.2667999999999999</v>
      </c>
    </row>
    <row r="746" spans="1:2" x14ac:dyDescent="0.15">
      <c r="A746" s="22">
        <v>41920</v>
      </c>
      <c r="B746">
        <v>1.2733000000000001</v>
      </c>
    </row>
    <row r="747" spans="1:2" x14ac:dyDescent="0.15">
      <c r="A747" s="22">
        <v>41921</v>
      </c>
      <c r="B747">
        <v>1.2689999999999999</v>
      </c>
    </row>
    <row r="748" spans="1:2" x14ac:dyDescent="0.15">
      <c r="A748" s="22">
        <v>41922</v>
      </c>
      <c r="B748">
        <v>1.2626999999999999</v>
      </c>
    </row>
    <row r="749" spans="1:2" x14ac:dyDescent="0.15">
      <c r="A749" s="22">
        <v>41925</v>
      </c>
      <c r="B749">
        <v>1.2751999999999999</v>
      </c>
    </row>
    <row r="750" spans="1:2" x14ac:dyDescent="0.15">
      <c r="A750" s="22">
        <v>41926</v>
      </c>
      <c r="B750">
        <v>1.2658</v>
      </c>
    </row>
    <row r="751" spans="1:2" x14ac:dyDescent="0.15">
      <c r="A751" s="22">
        <v>41927</v>
      </c>
      <c r="B751">
        <v>1.2836000000000001</v>
      </c>
    </row>
    <row r="752" spans="1:2" x14ac:dyDescent="0.15">
      <c r="A752" s="22">
        <v>41928</v>
      </c>
      <c r="B752">
        <v>1.2806999999999999</v>
      </c>
    </row>
    <row r="753" spans="1:2" x14ac:dyDescent="0.15">
      <c r="A753" s="22">
        <v>41929</v>
      </c>
      <c r="B753">
        <v>1.2761</v>
      </c>
    </row>
    <row r="754" spans="1:2" x14ac:dyDescent="0.15">
      <c r="A754" s="22">
        <v>41932</v>
      </c>
      <c r="B754">
        <v>1.2798</v>
      </c>
    </row>
    <row r="755" spans="1:2" x14ac:dyDescent="0.15">
      <c r="A755" s="22">
        <v>41933</v>
      </c>
      <c r="B755">
        <v>1.2714000000000001</v>
      </c>
    </row>
    <row r="756" spans="1:2" x14ac:dyDescent="0.15">
      <c r="A756" s="22">
        <v>41934</v>
      </c>
      <c r="B756">
        <v>1.2647999999999999</v>
      </c>
    </row>
    <row r="757" spans="1:2" x14ac:dyDescent="0.15">
      <c r="A757" s="22">
        <v>41935</v>
      </c>
      <c r="B757">
        <v>1.2644</v>
      </c>
    </row>
    <row r="758" spans="1:2" x14ac:dyDescent="0.15">
      <c r="A758" s="22">
        <v>41936</v>
      </c>
      <c r="B758">
        <v>1.2669999999999999</v>
      </c>
    </row>
    <row r="759" spans="1:2" x14ac:dyDescent="0.15">
      <c r="A759" s="22">
        <v>41939</v>
      </c>
      <c r="B759">
        <v>1.2697000000000001</v>
      </c>
    </row>
    <row r="760" spans="1:2" x14ac:dyDescent="0.15">
      <c r="A760" s="22">
        <v>41940</v>
      </c>
      <c r="B760">
        <v>1.2734000000000001</v>
      </c>
    </row>
    <row r="761" spans="1:2" x14ac:dyDescent="0.15">
      <c r="A761" s="22">
        <v>41941</v>
      </c>
      <c r="B761">
        <v>1.2630999999999999</v>
      </c>
    </row>
    <row r="762" spans="1:2" x14ac:dyDescent="0.15">
      <c r="A762" s="22">
        <v>41942</v>
      </c>
      <c r="B762">
        <v>1.2612000000000001</v>
      </c>
    </row>
    <row r="763" spans="1:2" x14ac:dyDescent="0.15">
      <c r="A763" s="22">
        <v>41943</v>
      </c>
      <c r="B763">
        <v>1.2524</v>
      </c>
    </row>
    <row r="764" spans="1:2" x14ac:dyDescent="0.15">
      <c r="A764" s="22">
        <v>41946</v>
      </c>
      <c r="B764">
        <v>1.2482</v>
      </c>
    </row>
    <row r="765" spans="1:2" x14ac:dyDescent="0.15">
      <c r="A765" s="22">
        <v>41947</v>
      </c>
      <c r="B765">
        <v>1.2544</v>
      </c>
    </row>
    <row r="766" spans="1:2" x14ac:dyDescent="0.15">
      <c r="A766" s="22">
        <v>41948</v>
      </c>
      <c r="B766">
        <v>1.2484999999999999</v>
      </c>
    </row>
    <row r="767" spans="1:2" x14ac:dyDescent="0.15">
      <c r="A767" s="22">
        <v>41949</v>
      </c>
      <c r="B767">
        <v>1.2373000000000001</v>
      </c>
    </row>
    <row r="768" spans="1:2" x14ac:dyDescent="0.15">
      <c r="A768" s="22">
        <v>41950</v>
      </c>
      <c r="B768">
        <v>1.2452000000000001</v>
      </c>
    </row>
    <row r="769" spans="1:2" x14ac:dyDescent="0.15">
      <c r="A769" s="22">
        <v>41953</v>
      </c>
      <c r="B769">
        <v>1.242</v>
      </c>
    </row>
    <row r="770" spans="1:2" x14ac:dyDescent="0.15">
      <c r="A770" s="22">
        <v>41954</v>
      </c>
      <c r="B770">
        <v>1.2474000000000001</v>
      </c>
    </row>
    <row r="771" spans="1:2" x14ac:dyDescent="0.15">
      <c r="A771" s="22">
        <v>41955</v>
      </c>
      <c r="B771">
        <v>1.2438</v>
      </c>
    </row>
    <row r="772" spans="1:2" x14ac:dyDescent="0.15">
      <c r="A772" s="22">
        <v>41956</v>
      </c>
      <c r="B772">
        <v>1.2475000000000001</v>
      </c>
    </row>
    <row r="773" spans="1:2" x14ac:dyDescent="0.15">
      <c r="A773" s="22">
        <v>41957</v>
      </c>
      <c r="B773">
        <v>1.2521</v>
      </c>
    </row>
    <row r="774" spans="1:2" x14ac:dyDescent="0.15">
      <c r="A774" s="22">
        <v>41960</v>
      </c>
      <c r="B774">
        <v>1.2448999999999999</v>
      </c>
    </row>
    <row r="775" spans="1:2" x14ac:dyDescent="0.15">
      <c r="A775" s="22">
        <v>41961</v>
      </c>
      <c r="B775">
        <v>1.2536</v>
      </c>
    </row>
    <row r="776" spans="1:2" x14ac:dyDescent="0.15">
      <c r="A776" s="22">
        <v>41962</v>
      </c>
      <c r="B776">
        <v>1.2553000000000001</v>
      </c>
    </row>
    <row r="777" spans="1:2" x14ac:dyDescent="0.15">
      <c r="A777" s="22">
        <v>41963</v>
      </c>
      <c r="B777">
        <v>1.2538</v>
      </c>
    </row>
    <row r="778" spans="1:2" x14ac:dyDescent="0.15">
      <c r="A778" s="22">
        <v>41964</v>
      </c>
      <c r="B778">
        <v>1.2387999999999999</v>
      </c>
    </row>
    <row r="779" spans="1:2" x14ac:dyDescent="0.15">
      <c r="A779" s="22">
        <v>41967</v>
      </c>
      <c r="B779">
        <v>1.2442</v>
      </c>
    </row>
    <row r="780" spans="1:2" x14ac:dyDescent="0.15">
      <c r="A780" s="22">
        <v>41968</v>
      </c>
      <c r="B780">
        <v>1.2474000000000001</v>
      </c>
    </row>
    <row r="781" spans="1:2" x14ac:dyDescent="0.15">
      <c r="A781" s="22">
        <v>41969</v>
      </c>
      <c r="B781">
        <v>1.2504999999999999</v>
      </c>
    </row>
    <row r="782" spans="1:2" x14ac:dyDescent="0.15">
      <c r="A782" s="22">
        <v>41970</v>
      </c>
      <c r="B782">
        <v>1.2465999999999999</v>
      </c>
    </row>
    <row r="783" spans="1:2" x14ac:dyDescent="0.15">
      <c r="A783" s="22">
        <v>41971</v>
      </c>
      <c r="B783">
        <v>1.2450000000000001</v>
      </c>
    </row>
    <row r="784" spans="1:2" x14ac:dyDescent="0.15">
      <c r="A784" s="22">
        <v>41974</v>
      </c>
      <c r="B784">
        <v>1.2468999999999999</v>
      </c>
    </row>
    <row r="785" spans="1:2" x14ac:dyDescent="0.15">
      <c r="A785" s="22">
        <v>41975</v>
      </c>
      <c r="B785">
        <v>1.2381</v>
      </c>
    </row>
    <row r="786" spans="1:2" x14ac:dyDescent="0.15">
      <c r="A786" s="22">
        <v>41976</v>
      </c>
      <c r="B786">
        <v>1.2310000000000001</v>
      </c>
    </row>
    <row r="787" spans="1:2" x14ac:dyDescent="0.15">
      <c r="A787" s="22">
        <v>41977</v>
      </c>
      <c r="B787">
        <v>1.2377</v>
      </c>
    </row>
    <row r="788" spans="1:2" x14ac:dyDescent="0.15">
      <c r="A788" s="22">
        <v>41978</v>
      </c>
      <c r="B788">
        <v>1.2284999999999999</v>
      </c>
    </row>
    <row r="789" spans="1:2" x14ac:dyDescent="0.15">
      <c r="A789" s="22">
        <v>41981</v>
      </c>
      <c r="B789">
        <v>1.2316</v>
      </c>
    </row>
    <row r="790" spans="1:2" x14ac:dyDescent="0.15">
      <c r="A790" s="22">
        <v>41982</v>
      </c>
      <c r="B790">
        <v>1.2374000000000001</v>
      </c>
    </row>
    <row r="791" spans="1:2" x14ac:dyDescent="0.15">
      <c r="A791" s="22">
        <v>41983</v>
      </c>
      <c r="B791">
        <v>1.2446999999999999</v>
      </c>
    </row>
    <row r="792" spans="1:2" x14ac:dyDescent="0.15">
      <c r="A792" s="22">
        <v>41984</v>
      </c>
      <c r="B792">
        <v>1.2408999999999999</v>
      </c>
    </row>
    <row r="793" spans="1:2" x14ac:dyDescent="0.15">
      <c r="A793" s="22">
        <v>41985</v>
      </c>
      <c r="B793">
        <v>1.246</v>
      </c>
    </row>
    <row r="794" spans="1:2" x14ac:dyDescent="0.15">
      <c r="A794" s="22">
        <v>41988</v>
      </c>
      <c r="B794">
        <v>1.2436</v>
      </c>
    </row>
    <row r="795" spans="1:2" x14ac:dyDescent="0.15">
      <c r="A795" s="22">
        <v>41989</v>
      </c>
      <c r="B795">
        <v>1.2509999999999999</v>
      </c>
    </row>
    <row r="796" spans="1:2" x14ac:dyDescent="0.15">
      <c r="A796" s="22">
        <v>41990</v>
      </c>
      <c r="B796">
        <v>1.2341</v>
      </c>
    </row>
    <row r="797" spans="1:2" x14ac:dyDescent="0.15">
      <c r="A797" s="22">
        <v>41991</v>
      </c>
      <c r="B797">
        <v>1.2284999999999999</v>
      </c>
    </row>
    <row r="798" spans="1:2" x14ac:dyDescent="0.15">
      <c r="A798" s="22">
        <v>41992</v>
      </c>
      <c r="B798">
        <v>1.2225999999999999</v>
      </c>
    </row>
    <row r="799" spans="1:2" x14ac:dyDescent="0.15">
      <c r="A799" s="22">
        <v>41995</v>
      </c>
      <c r="B799">
        <v>1.2229000000000001</v>
      </c>
    </row>
    <row r="800" spans="1:2" x14ac:dyDescent="0.15">
      <c r="A800" s="22">
        <v>41996</v>
      </c>
      <c r="B800">
        <v>1.2171000000000001</v>
      </c>
    </row>
    <row r="801" spans="1:2" x14ac:dyDescent="0.15">
      <c r="A801" s="22">
        <v>41997</v>
      </c>
      <c r="B801">
        <v>1.2193000000000001</v>
      </c>
    </row>
    <row r="802" spans="1:2" x14ac:dyDescent="0.15">
      <c r="A802" s="22">
        <v>41998</v>
      </c>
      <c r="B802">
        <v>1.2221</v>
      </c>
    </row>
    <row r="803" spans="1:2" x14ac:dyDescent="0.15">
      <c r="A803" s="22">
        <v>41999</v>
      </c>
      <c r="B803">
        <v>1.2175</v>
      </c>
    </row>
    <row r="804" spans="1:2" x14ac:dyDescent="0.15">
      <c r="A804" s="22">
        <v>42002</v>
      </c>
      <c r="B804">
        <v>1.2151000000000001</v>
      </c>
    </row>
    <row r="805" spans="1:2" x14ac:dyDescent="0.15">
      <c r="A805" s="22">
        <v>42003</v>
      </c>
      <c r="B805">
        <v>1.2156</v>
      </c>
    </row>
    <row r="806" spans="1:2" x14ac:dyDescent="0.15">
      <c r="A806" s="22">
        <v>42004</v>
      </c>
      <c r="B806">
        <v>1.2097</v>
      </c>
    </row>
    <row r="807" spans="1:2" x14ac:dyDescent="0.15">
      <c r="A807" s="22">
        <v>42005</v>
      </c>
      <c r="B807">
        <v>1.2101999999999999</v>
      </c>
    </row>
    <row r="808" spans="1:2" x14ac:dyDescent="0.15">
      <c r="A808" s="22">
        <v>42006</v>
      </c>
      <c r="B808">
        <v>1.2</v>
      </c>
    </row>
    <row r="809" spans="1:2" x14ac:dyDescent="0.15">
      <c r="A809" s="22">
        <v>42009</v>
      </c>
      <c r="B809">
        <v>1.1931</v>
      </c>
    </row>
    <row r="810" spans="1:2" x14ac:dyDescent="0.15">
      <c r="A810" s="22">
        <v>42010</v>
      </c>
      <c r="B810">
        <v>1.1888000000000001</v>
      </c>
    </row>
    <row r="811" spans="1:2" x14ac:dyDescent="0.15">
      <c r="A811" s="22">
        <v>42011</v>
      </c>
      <c r="B811">
        <v>1.1837</v>
      </c>
    </row>
    <row r="812" spans="1:2" x14ac:dyDescent="0.15">
      <c r="A812" s="22">
        <v>42012</v>
      </c>
      <c r="B812">
        <v>1.1792</v>
      </c>
    </row>
    <row r="813" spans="1:2" x14ac:dyDescent="0.15">
      <c r="A813" s="22">
        <v>42013</v>
      </c>
      <c r="B813">
        <v>1.1839</v>
      </c>
    </row>
    <row r="814" spans="1:2" x14ac:dyDescent="0.15">
      <c r="A814" s="22">
        <v>42016</v>
      </c>
      <c r="B814">
        <v>1.1833</v>
      </c>
    </row>
    <row r="815" spans="1:2" x14ac:dyDescent="0.15">
      <c r="A815" s="22">
        <v>42017</v>
      </c>
      <c r="B815">
        <v>1.1772</v>
      </c>
    </row>
    <row r="816" spans="1:2" x14ac:dyDescent="0.15">
      <c r="A816" s="22">
        <v>42018</v>
      </c>
      <c r="B816">
        <v>1.1789000000000001</v>
      </c>
    </row>
    <row r="817" spans="1:2" x14ac:dyDescent="0.15">
      <c r="A817" s="22">
        <v>42019</v>
      </c>
      <c r="B817">
        <v>1.1628000000000001</v>
      </c>
    </row>
    <row r="818" spans="1:2" x14ac:dyDescent="0.15">
      <c r="A818" s="22">
        <v>42020</v>
      </c>
      <c r="B818">
        <v>1.1567000000000001</v>
      </c>
    </row>
    <row r="819" spans="1:2" x14ac:dyDescent="0.15">
      <c r="A819" s="22">
        <v>42023</v>
      </c>
      <c r="B819">
        <v>1.1604000000000001</v>
      </c>
    </row>
    <row r="820" spans="1:2" x14ac:dyDescent="0.15">
      <c r="A820" s="22">
        <v>42024</v>
      </c>
      <c r="B820">
        <v>1.1549</v>
      </c>
    </row>
    <row r="821" spans="1:2" x14ac:dyDescent="0.15">
      <c r="A821" s="22">
        <v>42025</v>
      </c>
      <c r="B821">
        <v>1.1608000000000001</v>
      </c>
    </row>
    <row r="822" spans="1:2" x14ac:dyDescent="0.15">
      <c r="A822" s="22">
        <v>42026</v>
      </c>
      <c r="B822">
        <v>1.1365000000000001</v>
      </c>
    </row>
    <row r="823" spans="1:2" x14ac:dyDescent="0.15">
      <c r="A823" s="22">
        <v>42027</v>
      </c>
      <c r="B823">
        <v>1.1207</v>
      </c>
    </row>
    <row r="824" spans="1:2" x14ac:dyDescent="0.15">
      <c r="A824" s="22">
        <v>42030</v>
      </c>
      <c r="B824">
        <v>1.1236999999999999</v>
      </c>
    </row>
    <row r="825" spans="1:2" x14ac:dyDescent="0.15">
      <c r="A825" s="22">
        <v>42031</v>
      </c>
      <c r="B825">
        <v>1.1380999999999999</v>
      </c>
    </row>
    <row r="826" spans="1:2" x14ac:dyDescent="0.15">
      <c r="A826" s="22">
        <v>42032</v>
      </c>
      <c r="B826">
        <v>1.1286</v>
      </c>
    </row>
    <row r="827" spans="1:2" x14ac:dyDescent="0.15">
      <c r="A827" s="22">
        <v>42033</v>
      </c>
      <c r="B827">
        <v>1.1318999999999999</v>
      </c>
    </row>
    <row r="828" spans="1:2" x14ac:dyDescent="0.15">
      <c r="A828" s="22">
        <v>42034</v>
      </c>
      <c r="B828">
        <v>1.1286</v>
      </c>
    </row>
    <row r="829" spans="1:2" x14ac:dyDescent="0.15">
      <c r="A829" s="22">
        <v>42037</v>
      </c>
      <c r="B829">
        <v>1.1339999999999999</v>
      </c>
    </row>
    <row r="830" spans="1:2" x14ac:dyDescent="0.15">
      <c r="A830" s="22">
        <v>42038</v>
      </c>
      <c r="B830">
        <v>1.1478999999999999</v>
      </c>
    </row>
    <row r="831" spans="1:2" x14ac:dyDescent="0.15">
      <c r="A831" s="22">
        <v>42039</v>
      </c>
      <c r="B831">
        <v>1.1344000000000001</v>
      </c>
    </row>
    <row r="832" spans="1:2" x14ac:dyDescent="0.15">
      <c r="A832" s="22">
        <v>42040</v>
      </c>
      <c r="B832">
        <v>1.1475</v>
      </c>
    </row>
    <row r="833" spans="1:2" x14ac:dyDescent="0.15">
      <c r="A833" s="22">
        <v>42041</v>
      </c>
      <c r="B833">
        <v>1.1313</v>
      </c>
    </row>
    <row r="834" spans="1:2" x14ac:dyDescent="0.15">
      <c r="A834" s="22">
        <v>42044</v>
      </c>
      <c r="B834">
        <v>1.1323000000000001</v>
      </c>
    </row>
    <row r="835" spans="1:2" x14ac:dyDescent="0.15">
      <c r="A835" s="22">
        <v>42045</v>
      </c>
      <c r="B835">
        <v>1.1318999999999999</v>
      </c>
    </row>
    <row r="836" spans="1:2" x14ac:dyDescent="0.15">
      <c r="A836" s="22">
        <v>42046</v>
      </c>
      <c r="B836">
        <v>1.1331</v>
      </c>
    </row>
    <row r="837" spans="1:2" x14ac:dyDescent="0.15">
      <c r="A837" s="22">
        <v>42047</v>
      </c>
      <c r="B837">
        <v>1.1402000000000001</v>
      </c>
    </row>
    <row r="838" spans="1:2" x14ac:dyDescent="0.15">
      <c r="A838" s="22">
        <v>42048</v>
      </c>
      <c r="B838">
        <v>1.1383000000000001</v>
      </c>
    </row>
    <row r="839" spans="1:2" x14ac:dyDescent="0.15">
      <c r="A839" s="22">
        <v>42051</v>
      </c>
      <c r="B839">
        <v>1.1352</v>
      </c>
    </row>
    <row r="840" spans="1:2" x14ac:dyDescent="0.15">
      <c r="A840" s="22">
        <v>42052</v>
      </c>
      <c r="B840">
        <v>1.141</v>
      </c>
    </row>
    <row r="841" spans="1:2" x14ac:dyDescent="0.15">
      <c r="A841" s="22">
        <v>42053</v>
      </c>
      <c r="B841">
        <v>1.1395</v>
      </c>
    </row>
    <row r="842" spans="1:2" x14ac:dyDescent="0.15">
      <c r="A842" s="22">
        <v>42054</v>
      </c>
      <c r="B842">
        <v>1.1366000000000001</v>
      </c>
    </row>
    <row r="843" spans="1:2" x14ac:dyDescent="0.15">
      <c r="A843" s="22">
        <v>42055</v>
      </c>
      <c r="B843">
        <v>1.1377999999999999</v>
      </c>
    </row>
    <row r="844" spans="1:2" x14ac:dyDescent="0.15">
      <c r="A844" s="22">
        <v>42058</v>
      </c>
      <c r="B844">
        <v>1.133</v>
      </c>
    </row>
    <row r="845" spans="1:2" x14ac:dyDescent="0.15">
      <c r="A845" s="22">
        <v>42059</v>
      </c>
      <c r="B845">
        <v>1.1338999999999999</v>
      </c>
    </row>
    <row r="846" spans="1:2" x14ac:dyDescent="0.15">
      <c r="A846" s="22">
        <v>42060</v>
      </c>
      <c r="B846">
        <v>1.1361000000000001</v>
      </c>
    </row>
    <row r="847" spans="1:2" x14ac:dyDescent="0.15">
      <c r="A847" s="22">
        <v>42061</v>
      </c>
      <c r="B847">
        <v>1.1195999999999999</v>
      </c>
    </row>
    <row r="848" spans="1:2" x14ac:dyDescent="0.15">
      <c r="A848" s="22">
        <v>42062</v>
      </c>
      <c r="B848">
        <v>1.1193</v>
      </c>
    </row>
    <row r="849" spans="1:2" x14ac:dyDescent="0.15">
      <c r="A849" s="22">
        <v>42065</v>
      </c>
      <c r="B849">
        <v>1.1183000000000001</v>
      </c>
    </row>
    <row r="850" spans="1:2" x14ac:dyDescent="0.15">
      <c r="A850" s="22">
        <v>42066</v>
      </c>
      <c r="B850">
        <v>1.1173999999999999</v>
      </c>
    </row>
    <row r="851" spans="1:2" x14ac:dyDescent="0.15">
      <c r="A851" s="22">
        <v>42067</v>
      </c>
      <c r="B851">
        <v>1.1076999999999999</v>
      </c>
    </row>
    <row r="852" spans="1:2" x14ac:dyDescent="0.15">
      <c r="A852" s="22">
        <v>42068</v>
      </c>
      <c r="B852">
        <v>1.1028</v>
      </c>
    </row>
    <row r="853" spans="1:2" x14ac:dyDescent="0.15">
      <c r="A853" s="22">
        <v>42069</v>
      </c>
      <c r="B853">
        <v>1.0843</v>
      </c>
    </row>
    <row r="854" spans="1:2" x14ac:dyDescent="0.15">
      <c r="A854" s="22">
        <v>42072</v>
      </c>
      <c r="B854">
        <v>1.085</v>
      </c>
    </row>
    <row r="855" spans="1:2" x14ac:dyDescent="0.15">
      <c r="A855" s="22">
        <v>42073</v>
      </c>
      <c r="B855">
        <v>1.0697000000000001</v>
      </c>
    </row>
    <row r="856" spans="1:2" x14ac:dyDescent="0.15">
      <c r="A856" s="22">
        <v>42074</v>
      </c>
      <c r="B856">
        <v>1.0545</v>
      </c>
    </row>
    <row r="857" spans="1:2" x14ac:dyDescent="0.15">
      <c r="A857" s="22">
        <v>42075</v>
      </c>
      <c r="B857">
        <v>1.0634999999999999</v>
      </c>
    </row>
    <row r="858" spans="1:2" x14ac:dyDescent="0.15">
      <c r="A858" s="22">
        <v>42076</v>
      </c>
      <c r="B858">
        <v>1.0492999999999999</v>
      </c>
    </row>
    <row r="859" spans="1:2" x14ac:dyDescent="0.15">
      <c r="A859" s="22">
        <v>42079</v>
      </c>
      <c r="B859">
        <v>1.0566</v>
      </c>
    </row>
    <row r="860" spans="1:2" x14ac:dyDescent="0.15">
      <c r="A860" s="22">
        <v>42080</v>
      </c>
      <c r="B860">
        <v>1.0597000000000001</v>
      </c>
    </row>
    <row r="861" spans="1:2" x14ac:dyDescent="0.15">
      <c r="A861" s="22">
        <v>42081</v>
      </c>
      <c r="B861">
        <v>1.0865</v>
      </c>
    </row>
    <row r="862" spans="1:2" x14ac:dyDescent="0.15">
      <c r="A862" s="22">
        <v>42082</v>
      </c>
      <c r="B862">
        <v>1.0659000000000001</v>
      </c>
    </row>
    <row r="863" spans="1:2" x14ac:dyDescent="0.15">
      <c r="A863" s="22">
        <v>42083</v>
      </c>
      <c r="B863">
        <v>1.0820000000000001</v>
      </c>
    </row>
    <row r="864" spans="1:2" x14ac:dyDescent="0.15">
      <c r="A864" s="22">
        <v>42086</v>
      </c>
      <c r="B864">
        <v>1.0945</v>
      </c>
    </row>
    <row r="865" spans="1:2" x14ac:dyDescent="0.15">
      <c r="A865" s="22">
        <v>42087</v>
      </c>
      <c r="B865">
        <v>1.0924</v>
      </c>
    </row>
    <row r="866" spans="1:2" x14ac:dyDescent="0.15">
      <c r="A866" s="22">
        <v>42088</v>
      </c>
      <c r="B866">
        <v>1.0969</v>
      </c>
    </row>
    <row r="867" spans="1:2" x14ac:dyDescent="0.15">
      <c r="A867" s="22">
        <v>42089</v>
      </c>
      <c r="B867">
        <v>1.0883</v>
      </c>
    </row>
    <row r="868" spans="1:2" x14ac:dyDescent="0.15">
      <c r="A868" s="22">
        <v>42090</v>
      </c>
      <c r="B868">
        <v>1.0887</v>
      </c>
    </row>
    <row r="869" spans="1:2" x14ac:dyDescent="0.15">
      <c r="A869" s="22">
        <v>42093</v>
      </c>
      <c r="B869">
        <v>1.0831999999999999</v>
      </c>
    </row>
    <row r="870" spans="1:2" x14ac:dyDescent="0.15">
      <c r="A870" s="22">
        <v>42094</v>
      </c>
      <c r="B870">
        <v>1.073</v>
      </c>
    </row>
    <row r="871" spans="1:2" x14ac:dyDescent="0.15">
      <c r="A871" s="22">
        <v>42095</v>
      </c>
      <c r="B871">
        <v>1.0762</v>
      </c>
    </row>
    <row r="872" spans="1:2" x14ac:dyDescent="0.15">
      <c r="A872" s="22">
        <v>42096</v>
      </c>
      <c r="B872">
        <v>1.0881000000000001</v>
      </c>
    </row>
    <row r="873" spans="1:2" x14ac:dyDescent="0.15">
      <c r="A873" s="22">
        <v>42097</v>
      </c>
      <c r="B873">
        <v>1.0975999999999999</v>
      </c>
    </row>
    <row r="874" spans="1:2" x14ac:dyDescent="0.15">
      <c r="A874" s="22">
        <v>42100</v>
      </c>
      <c r="B874">
        <v>1.0921000000000001</v>
      </c>
    </row>
    <row r="875" spans="1:2" x14ac:dyDescent="0.15">
      <c r="A875" s="22">
        <v>42101</v>
      </c>
      <c r="B875">
        <v>1.0812999999999999</v>
      </c>
    </row>
    <row r="876" spans="1:2" x14ac:dyDescent="0.15">
      <c r="A876" s="22">
        <v>42102</v>
      </c>
      <c r="B876">
        <v>1.0779000000000001</v>
      </c>
    </row>
    <row r="877" spans="1:2" x14ac:dyDescent="0.15">
      <c r="A877" s="22">
        <v>42103</v>
      </c>
      <c r="B877">
        <v>1.0658000000000001</v>
      </c>
    </row>
    <row r="878" spans="1:2" x14ac:dyDescent="0.15">
      <c r="A878" s="22">
        <v>42104</v>
      </c>
      <c r="B878">
        <v>1.0602</v>
      </c>
    </row>
    <row r="879" spans="1:2" x14ac:dyDescent="0.15">
      <c r="A879" s="22">
        <v>42107</v>
      </c>
      <c r="B879">
        <v>1.0566</v>
      </c>
    </row>
    <row r="880" spans="1:2" x14ac:dyDescent="0.15">
      <c r="A880" s="22">
        <v>42108</v>
      </c>
      <c r="B880">
        <v>1.0651999999999999</v>
      </c>
    </row>
    <row r="881" spans="1:2" x14ac:dyDescent="0.15">
      <c r="A881" s="22">
        <v>42109</v>
      </c>
      <c r="B881">
        <v>1.0684</v>
      </c>
    </row>
    <row r="882" spans="1:2" x14ac:dyDescent="0.15">
      <c r="A882" s="22">
        <v>42110</v>
      </c>
      <c r="B882">
        <v>1.0760000000000001</v>
      </c>
    </row>
    <row r="883" spans="1:2" x14ac:dyDescent="0.15">
      <c r="A883" s="22">
        <v>42111</v>
      </c>
      <c r="B883">
        <v>1.0805</v>
      </c>
    </row>
    <row r="884" spans="1:2" x14ac:dyDescent="0.15">
      <c r="A884" s="22">
        <v>42114</v>
      </c>
      <c r="B884">
        <v>1.0736000000000001</v>
      </c>
    </row>
    <row r="885" spans="1:2" x14ac:dyDescent="0.15">
      <c r="A885" s="22">
        <v>42115</v>
      </c>
      <c r="B885">
        <v>1.0732999999999999</v>
      </c>
    </row>
    <row r="886" spans="1:2" x14ac:dyDescent="0.15">
      <c r="A886" s="22">
        <v>42116</v>
      </c>
      <c r="B886">
        <v>1.0725</v>
      </c>
    </row>
    <row r="887" spans="1:2" x14ac:dyDescent="0.15">
      <c r="A887" s="22">
        <v>42117</v>
      </c>
      <c r="B887">
        <v>1.0824</v>
      </c>
    </row>
    <row r="888" spans="1:2" x14ac:dyDescent="0.15">
      <c r="A888" s="22">
        <v>42118</v>
      </c>
      <c r="B888">
        <v>1.0871999999999999</v>
      </c>
    </row>
    <row r="889" spans="1:2" x14ac:dyDescent="0.15">
      <c r="A889" s="22">
        <v>42121</v>
      </c>
      <c r="B889">
        <v>1.0886</v>
      </c>
    </row>
    <row r="890" spans="1:2" x14ac:dyDescent="0.15">
      <c r="A890" s="22">
        <v>42122</v>
      </c>
      <c r="B890">
        <v>1.0980000000000001</v>
      </c>
    </row>
    <row r="891" spans="1:2" x14ac:dyDescent="0.15">
      <c r="A891" s="22">
        <v>42123</v>
      </c>
      <c r="B891">
        <v>1.1129</v>
      </c>
    </row>
    <row r="892" spans="1:2" x14ac:dyDescent="0.15">
      <c r="A892" s="22">
        <v>42124</v>
      </c>
      <c r="B892">
        <v>1.1222000000000001</v>
      </c>
    </row>
    <row r="893" spans="1:2" x14ac:dyDescent="0.15">
      <c r="A893" s="22">
        <v>42125</v>
      </c>
      <c r="B893">
        <v>1.1200000000000001</v>
      </c>
    </row>
    <row r="894" spans="1:2" x14ac:dyDescent="0.15">
      <c r="A894" s="22">
        <v>42128</v>
      </c>
      <c r="B894">
        <v>1.1144000000000001</v>
      </c>
    </row>
    <row r="895" spans="1:2" x14ac:dyDescent="0.15">
      <c r="A895" s="22">
        <v>42129</v>
      </c>
      <c r="B895">
        <v>1.1184000000000001</v>
      </c>
    </row>
    <row r="896" spans="1:2" x14ac:dyDescent="0.15">
      <c r="A896" s="22">
        <v>42130</v>
      </c>
      <c r="B896">
        <v>1.1351</v>
      </c>
    </row>
    <row r="897" spans="1:2" x14ac:dyDescent="0.15">
      <c r="A897" s="22">
        <v>42131</v>
      </c>
      <c r="B897">
        <v>1.1265000000000001</v>
      </c>
    </row>
    <row r="898" spans="1:2" x14ac:dyDescent="0.15">
      <c r="A898" s="22">
        <v>42132</v>
      </c>
      <c r="B898">
        <v>1.1203000000000001</v>
      </c>
    </row>
    <row r="899" spans="1:2" x14ac:dyDescent="0.15">
      <c r="A899" s="22">
        <v>42135</v>
      </c>
      <c r="B899">
        <v>1.1153999999999999</v>
      </c>
    </row>
    <row r="900" spans="1:2" x14ac:dyDescent="0.15">
      <c r="A900" s="22">
        <v>42136</v>
      </c>
      <c r="B900">
        <v>1.1213</v>
      </c>
    </row>
    <row r="901" spans="1:2" x14ac:dyDescent="0.15">
      <c r="A901" s="22">
        <v>42137</v>
      </c>
      <c r="B901">
        <v>1.1355</v>
      </c>
    </row>
    <row r="902" spans="1:2" x14ac:dyDescent="0.15">
      <c r="A902" s="22">
        <v>42138</v>
      </c>
      <c r="B902">
        <v>1.1408</v>
      </c>
    </row>
    <row r="903" spans="1:2" x14ac:dyDescent="0.15">
      <c r="A903" s="22">
        <v>42139</v>
      </c>
      <c r="B903">
        <v>1.1451</v>
      </c>
    </row>
    <row r="904" spans="1:2" x14ac:dyDescent="0.15">
      <c r="A904" s="22">
        <v>42142</v>
      </c>
      <c r="B904">
        <v>1.1314</v>
      </c>
    </row>
    <row r="905" spans="1:2" x14ac:dyDescent="0.15">
      <c r="A905" s="22">
        <v>42143</v>
      </c>
      <c r="B905">
        <v>1.1147</v>
      </c>
    </row>
    <row r="906" spans="1:2" x14ac:dyDescent="0.15">
      <c r="A906" s="22">
        <v>42144</v>
      </c>
      <c r="B906">
        <v>1.1091</v>
      </c>
    </row>
    <row r="907" spans="1:2" x14ac:dyDescent="0.15">
      <c r="A907" s="22">
        <v>42145</v>
      </c>
      <c r="B907">
        <v>1.1112</v>
      </c>
    </row>
    <row r="908" spans="1:2" x14ac:dyDescent="0.15">
      <c r="A908" s="22">
        <v>42146</v>
      </c>
      <c r="B908">
        <v>1.1014999999999999</v>
      </c>
    </row>
    <row r="909" spans="1:2" x14ac:dyDescent="0.15">
      <c r="A909" s="22">
        <v>42149</v>
      </c>
      <c r="B909">
        <v>1.0974999999999999</v>
      </c>
    </row>
    <row r="910" spans="1:2" x14ac:dyDescent="0.15">
      <c r="A910" s="22">
        <v>42150</v>
      </c>
      <c r="B910">
        <v>1.0872999999999999</v>
      </c>
    </row>
    <row r="911" spans="1:2" x14ac:dyDescent="0.15">
      <c r="A911" s="22">
        <v>42151</v>
      </c>
      <c r="B911">
        <v>1.0903</v>
      </c>
    </row>
    <row r="912" spans="1:2" x14ac:dyDescent="0.15">
      <c r="A912" s="22">
        <v>42152</v>
      </c>
      <c r="B912">
        <v>1.0946</v>
      </c>
    </row>
    <row r="913" spans="1:2" x14ac:dyDescent="0.15">
      <c r="A913" s="22">
        <v>42153</v>
      </c>
      <c r="B913">
        <v>1.0987</v>
      </c>
    </row>
    <row r="914" spans="1:2" x14ac:dyDescent="0.15">
      <c r="A914" s="22">
        <v>42156</v>
      </c>
      <c r="B914">
        <v>1.0925</v>
      </c>
    </row>
    <row r="915" spans="1:2" x14ac:dyDescent="0.15">
      <c r="A915" s="22">
        <v>42157</v>
      </c>
      <c r="B915">
        <v>1.1152</v>
      </c>
    </row>
    <row r="916" spans="1:2" x14ac:dyDescent="0.15">
      <c r="A916" s="22">
        <v>42158</v>
      </c>
      <c r="B916">
        <v>1.1274</v>
      </c>
    </row>
    <row r="917" spans="1:2" x14ac:dyDescent="0.15">
      <c r="A917" s="22">
        <v>42159</v>
      </c>
      <c r="B917">
        <v>1.1236999999999999</v>
      </c>
    </row>
    <row r="918" spans="1:2" x14ac:dyDescent="0.15">
      <c r="A918" s="22">
        <v>42160</v>
      </c>
      <c r="B918">
        <v>1.1111</v>
      </c>
    </row>
    <row r="919" spans="1:2" x14ac:dyDescent="0.15">
      <c r="A919" s="22">
        <v>42163</v>
      </c>
      <c r="B919">
        <v>1.1291</v>
      </c>
    </row>
    <row r="920" spans="1:2" x14ac:dyDescent="0.15">
      <c r="A920" s="22">
        <v>42164</v>
      </c>
      <c r="B920">
        <v>1.1283000000000001</v>
      </c>
    </row>
    <row r="921" spans="1:2" x14ac:dyDescent="0.15">
      <c r="A921" s="22">
        <v>42165</v>
      </c>
      <c r="B921">
        <v>1.1324000000000001</v>
      </c>
    </row>
    <row r="922" spans="1:2" x14ac:dyDescent="0.15">
      <c r="A922" s="22">
        <v>42166</v>
      </c>
      <c r="B922">
        <v>1.1256999999999999</v>
      </c>
    </row>
    <row r="923" spans="1:2" x14ac:dyDescent="0.15">
      <c r="A923" s="22">
        <v>42167</v>
      </c>
      <c r="B923">
        <v>1.1268</v>
      </c>
    </row>
    <row r="924" spans="1:2" x14ac:dyDescent="0.15">
      <c r="A924" s="22">
        <v>42170</v>
      </c>
      <c r="B924">
        <v>1.1283000000000001</v>
      </c>
    </row>
    <row r="925" spans="1:2" x14ac:dyDescent="0.15">
      <c r="A925" s="22">
        <v>42171</v>
      </c>
      <c r="B925">
        <v>1.1246</v>
      </c>
    </row>
    <row r="926" spans="1:2" x14ac:dyDescent="0.15">
      <c r="A926" s="22">
        <v>42172</v>
      </c>
      <c r="B926">
        <v>1.1335</v>
      </c>
    </row>
    <row r="927" spans="1:2" x14ac:dyDescent="0.15">
      <c r="A927" s="22">
        <v>42173</v>
      </c>
      <c r="B927">
        <v>1.1357999999999999</v>
      </c>
    </row>
    <row r="928" spans="1:2" x14ac:dyDescent="0.15">
      <c r="A928" s="22">
        <v>42174</v>
      </c>
      <c r="B928">
        <v>1.1352</v>
      </c>
    </row>
    <row r="929" spans="1:2" x14ac:dyDescent="0.15">
      <c r="A929" s="22">
        <v>42177</v>
      </c>
      <c r="B929">
        <v>1.1339999999999999</v>
      </c>
    </row>
    <row r="930" spans="1:2" x14ac:dyDescent="0.15">
      <c r="A930" s="22">
        <v>42178</v>
      </c>
      <c r="B930">
        <v>1.1169</v>
      </c>
    </row>
    <row r="931" spans="1:2" x14ac:dyDescent="0.15">
      <c r="A931" s="22">
        <v>42179</v>
      </c>
      <c r="B931">
        <v>1.1205000000000001</v>
      </c>
    </row>
    <row r="932" spans="1:2" x14ac:dyDescent="0.15">
      <c r="A932" s="22">
        <v>42180</v>
      </c>
      <c r="B932">
        <v>1.1204000000000001</v>
      </c>
    </row>
    <row r="933" spans="1:2" x14ac:dyDescent="0.15">
      <c r="A933" s="22">
        <v>42181</v>
      </c>
      <c r="B933">
        <v>1.1164000000000001</v>
      </c>
    </row>
    <row r="934" spans="1:2" x14ac:dyDescent="0.15">
      <c r="A934" s="22">
        <v>42184</v>
      </c>
      <c r="B934">
        <v>1.1234999999999999</v>
      </c>
    </row>
    <row r="935" spans="1:2" x14ac:dyDescent="0.15">
      <c r="A935" s="22">
        <v>42185</v>
      </c>
      <c r="B935">
        <v>1.1134999999999999</v>
      </c>
    </row>
    <row r="936" spans="1:2" x14ac:dyDescent="0.15">
      <c r="A936" s="22">
        <v>42186</v>
      </c>
      <c r="B936">
        <v>1.1052</v>
      </c>
    </row>
    <row r="937" spans="1:2" x14ac:dyDescent="0.15">
      <c r="A937" s="22">
        <v>42187</v>
      </c>
      <c r="B937">
        <v>1.1083000000000001</v>
      </c>
    </row>
    <row r="938" spans="1:2" x14ac:dyDescent="0.15">
      <c r="A938" s="22">
        <v>42188</v>
      </c>
      <c r="B938">
        <v>1.1112</v>
      </c>
    </row>
    <row r="939" spans="1:2" x14ac:dyDescent="0.15">
      <c r="A939" s="22">
        <v>42191</v>
      </c>
      <c r="B939">
        <v>1.1054999999999999</v>
      </c>
    </row>
    <row r="940" spans="1:2" x14ac:dyDescent="0.15">
      <c r="A940" s="22">
        <v>42192</v>
      </c>
      <c r="B940">
        <v>1.101</v>
      </c>
    </row>
    <row r="941" spans="1:2" x14ac:dyDescent="0.15">
      <c r="A941" s="22">
        <v>42193</v>
      </c>
      <c r="B941">
        <v>1.1074999999999999</v>
      </c>
    </row>
    <row r="942" spans="1:2" x14ac:dyDescent="0.15">
      <c r="A942" s="22">
        <v>42194</v>
      </c>
      <c r="B942">
        <v>1.1035999999999999</v>
      </c>
    </row>
    <row r="943" spans="1:2" x14ac:dyDescent="0.15">
      <c r="A943" s="22">
        <v>42195</v>
      </c>
      <c r="B943">
        <v>1.1162000000000001</v>
      </c>
    </row>
    <row r="944" spans="1:2" x14ac:dyDescent="0.15">
      <c r="A944" s="22">
        <v>42198</v>
      </c>
      <c r="B944">
        <v>1.1002000000000001</v>
      </c>
    </row>
    <row r="945" spans="1:2" x14ac:dyDescent="0.15">
      <c r="A945" s="22">
        <v>42199</v>
      </c>
      <c r="B945">
        <v>1.1009</v>
      </c>
    </row>
    <row r="946" spans="1:2" x14ac:dyDescent="0.15">
      <c r="A946" s="22">
        <v>42200</v>
      </c>
      <c r="B946">
        <v>1.0947</v>
      </c>
    </row>
    <row r="947" spans="1:2" x14ac:dyDescent="0.15">
      <c r="A947" s="22">
        <v>42201</v>
      </c>
      <c r="B947">
        <v>1.0873999999999999</v>
      </c>
    </row>
    <row r="948" spans="1:2" x14ac:dyDescent="0.15">
      <c r="A948" s="22">
        <v>42202</v>
      </c>
      <c r="B948">
        <v>1.0828</v>
      </c>
    </row>
    <row r="949" spans="1:2" x14ac:dyDescent="0.15">
      <c r="A949" s="22">
        <v>42205</v>
      </c>
      <c r="B949">
        <v>1.0825</v>
      </c>
    </row>
    <row r="950" spans="1:2" x14ac:dyDescent="0.15">
      <c r="A950" s="22">
        <v>42206</v>
      </c>
      <c r="B950">
        <v>1.0935999999999999</v>
      </c>
    </row>
    <row r="951" spans="1:2" x14ac:dyDescent="0.15">
      <c r="A951" s="22">
        <v>42207</v>
      </c>
      <c r="B951">
        <v>1.0932999999999999</v>
      </c>
    </row>
    <row r="952" spans="1:2" x14ac:dyDescent="0.15">
      <c r="A952" s="22">
        <v>42208</v>
      </c>
      <c r="B952">
        <v>1.0981000000000001</v>
      </c>
    </row>
    <row r="953" spans="1:2" x14ac:dyDescent="0.15">
      <c r="A953" s="22">
        <v>42209</v>
      </c>
      <c r="B953">
        <v>1.0982000000000001</v>
      </c>
    </row>
    <row r="954" spans="1:2" x14ac:dyDescent="0.15">
      <c r="A954" s="22">
        <v>42212</v>
      </c>
      <c r="B954">
        <v>1.1091</v>
      </c>
    </row>
    <row r="955" spans="1:2" x14ac:dyDescent="0.15">
      <c r="A955" s="22">
        <v>42213</v>
      </c>
      <c r="B955">
        <v>1.1057999999999999</v>
      </c>
    </row>
    <row r="956" spans="1:2" x14ac:dyDescent="0.15">
      <c r="A956" s="22">
        <v>42214</v>
      </c>
      <c r="B956">
        <v>1.0984</v>
      </c>
    </row>
    <row r="957" spans="1:2" x14ac:dyDescent="0.15">
      <c r="A957" s="22">
        <v>42215</v>
      </c>
      <c r="B957">
        <v>1.0931</v>
      </c>
    </row>
    <row r="958" spans="1:2" x14ac:dyDescent="0.15">
      <c r="A958" s="22">
        <v>42216</v>
      </c>
      <c r="B958">
        <v>1.0987</v>
      </c>
    </row>
    <row r="959" spans="1:2" x14ac:dyDescent="0.15">
      <c r="A959" s="22">
        <v>42219</v>
      </c>
      <c r="B959">
        <v>1.0949</v>
      </c>
    </row>
    <row r="960" spans="1:2" x14ac:dyDescent="0.15">
      <c r="A960" s="22">
        <v>42220</v>
      </c>
      <c r="B960">
        <v>1.0880000000000001</v>
      </c>
    </row>
    <row r="961" spans="1:2" x14ac:dyDescent="0.15">
      <c r="A961" s="22">
        <v>42221</v>
      </c>
      <c r="B961">
        <v>1.0904</v>
      </c>
    </row>
    <row r="962" spans="1:2" x14ac:dyDescent="0.15">
      <c r="A962" s="22">
        <v>42222</v>
      </c>
      <c r="B962">
        <v>1.0923</v>
      </c>
    </row>
    <row r="963" spans="1:2" x14ac:dyDescent="0.15">
      <c r="A963" s="22">
        <v>42223</v>
      </c>
      <c r="B963">
        <v>1.0965</v>
      </c>
    </row>
    <row r="964" spans="1:2" x14ac:dyDescent="0.15">
      <c r="A964" s="22">
        <v>42226</v>
      </c>
      <c r="B964">
        <v>1.1015999999999999</v>
      </c>
    </row>
    <row r="965" spans="1:2" x14ac:dyDescent="0.15">
      <c r="A965" s="22">
        <v>42227</v>
      </c>
      <c r="B965">
        <v>1.1040000000000001</v>
      </c>
    </row>
    <row r="966" spans="1:2" x14ac:dyDescent="0.15">
      <c r="A966" s="22">
        <v>42228</v>
      </c>
      <c r="B966">
        <v>1.1155999999999999</v>
      </c>
    </row>
    <row r="967" spans="1:2" x14ac:dyDescent="0.15">
      <c r="A967" s="22">
        <v>42229</v>
      </c>
      <c r="B967">
        <v>1.1148</v>
      </c>
    </row>
    <row r="968" spans="1:2" x14ac:dyDescent="0.15">
      <c r="A968" s="22">
        <v>42230</v>
      </c>
      <c r="B968">
        <v>1.1106</v>
      </c>
    </row>
    <row r="969" spans="1:2" x14ac:dyDescent="0.15">
      <c r="A969" s="22">
        <v>42233</v>
      </c>
      <c r="B969">
        <v>1.1080000000000001</v>
      </c>
    </row>
    <row r="970" spans="1:2" x14ac:dyDescent="0.15">
      <c r="A970" s="22">
        <v>42234</v>
      </c>
      <c r="B970">
        <v>1.1017999999999999</v>
      </c>
    </row>
    <row r="971" spans="1:2" x14ac:dyDescent="0.15">
      <c r="A971" s="22">
        <v>42235</v>
      </c>
      <c r="B971">
        <v>1.1116999999999999</v>
      </c>
    </row>
    <row r="972" spans="1:2" x14ac:dyDescent="0.15">
      <c r="A972" s="22">
        <v>42236</v>
      </c>
      <c r="B972">
        <v>1.1241000000000001</v>
      </c>
    </row>
    <row r="973" spans="1:2" x14ac:dyDescent="0.15">
      <c r="A973" s="22">
        <v>42237</v>
      </c>
      <c r="B973">
        <v>1.1387</v>
      </c>
    </row>
    <row r="974" spans="1:2" x14ac:dyDescent="0.15">
      <c r="A974" s="22">
        <v>42240</v>
      </c>
      <c r="B974">
        <v>1.1617999999999999</v>
      </c>
    </row>
    <row r="975" spans="1:2" x14ac:dyDescent="0.15">
      <c r="A975" s="22">
        <v>42241</v>
      </c>
      <c r="B975">
        <v>1.1514</v>
      </c>
    </row>
    <row r="976" spans="1:2" x14ac:dyDescent="0.15">
      <c r="A976" s="22">
        <v>42242</v>
      </c>
      <c r="B976">
        <v>1.1315</v>
      </c>
    </row>
    <row r="977" spans="1:2" x14ac:dyDescent="0.15">
      <c r="A977" s="22">
        <v>42243</v>
      </c>
      <c r="B977">
        <v>1.1243000000000001</v>
      </c>
    </row>
    <row r="978" spans="1:2" x14ac:dyDescent="0.15">
      <c r="A978" s="22">
        <v>42244</v>
      </c>
      <c r="B978">
        <v>1.1178999999999999</v>
      </c>
    </row>
    <row r="979" spans="1:2" x14ac:dyDescent="0.15">
      <c r="A979" s="22">
        <v>42247</v>
      </c>
      <c r="B979">
        <v>1.1211</v>
      </c>
    </row>
    <row r="980" spans="1:2" x14ac:dyDescent="0.15">
      <c r="A980" s="22">
        <v>42248</v>
      </c>
      <c r="B980">
        <v>1.1316999999999999</v>
      </c>
    </row>
    <row r="981" spans="1:2" x14ac:dyDescent="0.15">
      <c r="A981" s="22">
        <v>42249</v>
      </c>
      <c r="B981">
        <v>1.1226</v>
      </c>
    </row>
    <row r="982" spans="1:2" x14ac:dyDescent="0.15">
      <c r="A982" s="22">
        <v>42250</v>
      </c>
      <c r="B982">
        <v>1.1121000000000001</v>
      </c>
    </row>
    <row r="983" spans="1:2" x14ac:dyDescent="0.15">
      <c r="A983" s="22">
        <v>42251</v>
      </c>
      <c r="B983">
        <v>1.1146</v>
      </c>
    </row>
    <row r="984" spans="1:2" x14ac:dyDescent="0.15">
      <c r="A984" s="22">
        <v>42254</v>
      </c>
      <c r="B984">
        <v>1.1167</v>
      </c>
    </row>
    <row r="985" spans="1:2" x14ac:dyDescent="0.15">
      <c r="A985" s="22">
        <v>42255</v>
      </c>
      <c r="B985">
        <v>1.1198999999999999</v>
      </c>
    </row>
    <row r="986" spans="1:2" x14ac:dyDescent="0.15">
      <c r="A986" s="22">
        <v>42256</v>
      </c>
      <c r="B986">
        <v>1.1204000000000001</v>
      </c>
    </row>
    <row r="987" spans="1:2" x14ac:dyDescent="0.15">
      <c r="A987" s="22">
        <v>42257</v>
      </c>
      <c r="B987">
        <v>1.1275999999999999</v>
      </c>
    </row>
    <row r="988" spans="1:2" x14ac:dyDescent="0.15">
      <c r="A988" s="22">
        <v>42258</v>
      </c>
      <c r="B988">
        <v>1.1338999999999999</v>
      </c>
    </row>
    <row r="989" spans="1:2" x14ac:dyDescent="0.15">
      <c r="A989" s="22">
        <v>42261</v>
      </c>
      <c r="B989">
        <v>1.1317999999999999</v>
      </c>
    </row>
    <row r="990" spans="1:2" x14ac:dyDescent="0.15">
      <c r="A990" s="22">
        <v>42262</v>
      </c>
      <c r="B990">
        <v>1.1266</v>
      </c>
    </row>
    <row r="991" spans="1:2" x14ac:dyDescent="0.15">
      <c r="A991" s="22">
        <v>42263</v>
      </c>
      <c r="B991">
        <v>1.1289</v>
      </c>
    </row>
    <row r="992" spans="1:2" x14ac:dyDescent="0.15">
      <c r="A992" s="22">
        <v>42264</v>
      </c>
      <c r="B992">
        <v>1.1435</v>
      </c>
    </row>
    <row r="993" spans="1:2" x14ac:dyDescent="0.15">
      <c r="A993" s="22">
        <v>42265</v>
      </c>
      <c r="B993">
        <v>1.1305000000000001</v>
      </c>
    </row>
    <row r="994" spans="1:2" x14ac:dyDescent="0.15">
      <c r="A994" s="22">
        <v>42268</v>
      </c>
      <c r="B994">
        <v>1.1186</v>
      </c>
    </row>
    <row r="995" spans="1:2" x14ac:dyDescent="0.15">
      <c r="A995" s="22">
        <v>42269</v>
      </c>
      <c r="B995">
        <v>1.1117999999999999</v>
      </c>
    </row>
    <row r="996" spans="1:2" x14ac:dyDescent="0.15">
      <c r="A996" s="22">
        <v>42270</v>
      </c>
      <c r="B996">
        <v>1.1185</v>
      </c>
    </row>
    <row r="997" spans="1:2" x14ac:dyDescent="0.15">
      <c r="A997" s="22">
        <v>42271</v>
      </c>
      <c r="B997">
        <v>1.1229</v>
      </c>
    </row>
    <row r="998" spans="1:2" x14ac:dyDescent="0.15">
      <c r="A998" s="22">
        <v>42272</v>
      </c>
      <c r="B998">
        <v>1.1194</v>
      </c>
    </row>
    <row r="999" spans="1:2" x14ac:dyDescent="0.15">
      <c r="A999" s="22">
        <v>42275</v>
      </c>
      <c r="B999">
        <v>1.1243000000000001</v>
      </c>
    </row>
    <row r="1000" spans="1:2" x14ac:dyDescent="0.15">
      <c r="A1000" s="22">
        <v>42276</v>
      </c>
      <c r="B1000">
        <v>1.1245000000000001</v>
      </c>
    </row>
    <row r="1001" spans="1:2" x14ac:dyDescent="0.15">
      <c r="A1001" s="22">
        <v>42277</v>
      </c>
      <c r="B1001">
        <v>1.1175999999999999</v>
      </c>
    </row>
    <row r="1002" spans="1:2" x14ac:dyDescent="0.15">
      <c r="A1002" s="22">
        <v>42278</v>
      </c>
      <c r="B1002">
        <v>1.1194</v>
      </c>
    </row>
    <row r="1003" spans="1:2" x14ac:dyDescent="0.15">
      <c r="A1003" s="22">
        <v>42279</v>
      </c>
      <c r="B1003">
        <v>1.1209</v>
      </c>
    </row>
    <row r="1004" spans="1:2" x14ac:dyDescent="0.15">
      <c r="A1004" s="22">
        <v>42282</v>
      </c>
      <c r="B1004">
        <v>1.1185</v>
      </c>
    </row>
    <row r="1005" spans="1:2" x14ac:dyDescent="0.15">
      <c r="A1005" s="22">
        <v>42283</v>
      </c>
      <c r="B1005">
        <v>1.1268</v>
      </c>
    </row>
    <row r="1006" spans="1:2" x14ac:dyDescent="0.15">
      <c r="A1006" s="22">
        <v>42284</v>
      </c>
      <c r="B1006">
        <v>1.1234999999999999</v>
      </c>
    </row>
    <row r="1007" spans="1:2" x14ac:dyDescent="0.15">
      <c r="A1007" s="22">
        <v>42285</v>
      </c>
      <c r="B1007">
        <v>1.1277999999999999</v>
      </c>
    </row>
    <row r="1008" spans="1:2" x14ac:dyDescent="0.15">
      <c r="A1008" s="22">
        <v>42286</v>
      </c>
      <c r="B1008">
        <v>1.1354</v>
      </c>
    </row>
    <row r="1009" spans="1:2" x14ac:dyDescent="0.15">
      <c r="A1009" s="22">
        <v>42289</v>
      </c>
      <c r="B1009">
        <v>1.1355</v>
      </c>
    </row>
    <row r="1010" spans="1:2" x14ac:dyDescent="0.15">
      <c r="A1010" s="22">
        <v>42290</v>
      </c>
      <c r="B1010">
        <v>1.1375999999999999</v>
      </c>
    </row>
    <row r="1011" spans="1:2" x14ac:dyDescent="0.15">
      <c r="A1011" s="22">
        <v>42291</v>
      </c>
      <c r="B1011">
        <v>1.1473</v>
      </c>
    </row>
    <row r="1012" spans="1:2" x14ac:dyDescent="0.15">
      <c r="A1012" s="22">
        <v>42292</v>
      </c>
      <c r="B1012">
        <v>1.1382000000000001</v>
      </c>
    </row>
    <row r="1013" spans="1:2" x14ac:dyDescent="0.15">
      <c r="A1013" s="22">
        <v>42293</v>
      </c>
      <c r="B1013">
        <v>1.1346000000000001</v>
      </c>
    </row>
    <row r="1014" spans="1:2" x14ac:dyDescent="0.15">
      <c r="A1014" s="22">
        <v>42296</v>
      </c>
      <c r="B1014">
        <v>1.1324000000000001</v>
      </c>
    </row>
    <row r="1015" spans="1:2" x14ac:dyDescent="0.15">
      <c r="A1015" s="22">
        <v>42297</v>
      </c>
      <c r="B1015">
        <v>1.1344000000000001</v>
      </c>
    </row>
    <row r="1016" spans="1:2" x14ac:dyDescent="0.15">
      <c r="A1016" s="22">
        <v>42298</v>
      </c>
      <c r="B1016">
        <v>1.1335999999999999</v>
      </c>
    </row>
    <row r="1017" spans="1:2" x14ac:dyDescent="0.15">
      <c r="A1017" s="22">
        <v>42299</v>
      </c>
      <c r="B1017">
        <v>1.1106</v>
      </c>
    </row>
    <row r="1018" spans="1:2" x14ac:dyDescent="0.15">
      <c r="A1018" s="22">
        <v>42300</v>
      </c>
      <c r="B1018">
        <v>1.1013999999999999</v>
      </c>
    </row>
    <row r="1019" spans="1:2" x14ac:dyDescent="0.15">
      <c r="A1019" s="22">
        <v>42303</v>
      </c>
      <c r="B1019">
        <v>1.1055999999999999</v>
      </c>
    </row>
    <row r="1020" spans="1:2" x14ac:dyDescent="0.15">
      <c r="A1020" s="22">
        <v>42304</v>
      </c>
      <c r="B1020">
        <v>1.1048</v>
      </c>
    </row>
    <row r="1021" spans="1:2" x14ac:dyDescent="0.15">
      <c r="A1021" s="22">
        <v>42305</v>
      </c>
      <c r="B1021">
        <v>1.0920000000000001</v>
      </c>
    </row>
    <row r="1022" spans="1:2" x14ac:dyDescent="0.15">
      <c r="A1022" s="22">
        <v>42306</v>
      </c>
      <c r="B1022">
        <v>1.0975999999999999</v>
      </c>
    </row>
    <row r="1023" spans="1:2" x14ac:dyDescent="0.15">
      <c r="A1023" s="22">
        <v>42307</v>
      </c>
      <c r="B1023">
        <v>1.1005</v>
      </c>
    </row>
    <row r="1024" spans="1:2" x14ac:dyDescent="0.15">
      <c r="A1024" s="22">
        <v>42310</v>
      </c>
      <c r="B1024">
        <v>1.1012999999999999</v>
      </c>
    </row>
    <row r="1025" spans="1:2" x14ac:dyDescent="0.15">
      <c r="A1025" s="22">
        <v>42311</v>
      </c>
      <c r="B1025">
        <v>1.0966</v>
      </c>
    </row>
    <row r="1026" spans="1:2" x14ac:dyDescent="0.15">
      <c r="A1026" s="22">
        <v>42312</v>
      </c>
      <c r="B1026">
        <v>1.0862000000000001</v>
      </c>
    </row>
    <row r="1027" spans="1:2" x14ac:dyDescent="0.15">
      <c r="A1027" s="22">
        <v>42313</v>
      </c>
      <c r="B1027">
        <v>1.0881000000000001</v>
      </c>
    </row>
    <row r="1028" spans="1:2" x14ac:dyDescent="0.15">
      <c r="A1028" s="22">
        <v>42314</v>
      </c>
      <c r="B1028">
        <v>1.0738000000000001</v>
      </c>
    </row>
    <row r="1029" spans="1:2" x14ac:dyDescent="0.15">
      <c r="A1029" s="22">
        <v>42317</v>
      </c>
      <c r="B1029">
        <v>1.0749</v>
      </c>
    </row>
    <row r="1030" spans="1:2" x14ac:dyDescent="0.15">
      <c r="A1030" s="22">
        <v>42318</v>
      </c>
      <c r="B1030">
        <v>1.0723</v>
      </c>
    </row>
    <row r="1031" spans="1:2" x14ac:dyDescent="0.15">
      <c r="A1031" s="22">
        <v>42319</v>
      </c>
      <c r="B1031">
        <v>1.0743</v>
      </c>
    </row>
    <row r="1032" spans="1:2" x14ac:dyDescent="0.15">
      <c r="A1032" s="22">
        <v>42320</v>
      </c>
      <c r="B1032">
        <v>1.0817000000000001</v>
      </c>
    </row>
    <row r="1033" spans="1:2" x14ac:dyDescent="0.15">
      <c r="A1033" s="22">
        <v>42321</v>
      </c>
      <c r="B1033">
        <v>1.0777000000000001</v>
      </c>
    </row>
    <row r="1034" spans="1:2" x14ac:dyDescent="0.15">
      <c r="A1034" s="22">
        <v>42324</v>
      </c>
      <c r="B1034">
        <v>1.0684</v>
      </c>
    </row>
    <row r="1035" spans="1:2" x14ac:dyDescent="0.15">
      <c r="A1035" s="22">
        <v>42325</v>
      </c>
      <c r="B1035">
        <v>1.0641</v>
      </c>
    </row>
    <row r="1036" spans="1:2" x14ac:dyDescent="0.15">
      <c r="A1036" s="22">
        <v>42326</v>
      </c>
      <c r="B1036">
        <v>1.0658000000000001</v>
      </c>
    </row>
    <row r="1037" spans="1:2" x14ac:dyDescent="0.15">
      <c r="A1037" s="22">
        <v>42327</v>
      </c>
      <c r="B1037">
        <v>1.0731999999999999</v>
      </c>
    </row>
    <row r="1038" spans="1:2" x14ac:dyDescent="0.15">
      <c r="A1038" s="22">
        <v>42328</v>
      </c>
      <c r="B1038">
        <v>1.0643</v>
      </c>
    </row>
    <row r="1039" spans="1:2" x14ac:dyDescent="0.15">
      <c r="A1039" s="22">
        <v>42331</v>
      </c>
      <c r="B1039">
        <v>1.0633999999999999</v>
      </c>
    </row>
    <row r="1040" spans="1:2" x14ac:dyDescent="0.15">
      <c r="A1040" s="22">
        <v>42332</v>
      </c>
      <c r="B1040">
        <v>1.0640000000000001</v>
      </c>
    </row>
    <row r="1041" spans="1:2" x14ac:dyDescent="0.15">
      <c r="A1041" s="22">
        <v>42333</v>
      </c>
      <c r="B1041">
        <v>1.0626</v>
      </c>
    </row>
    <row r="1042" spans="1:2" x14ac:dyDescent="0.15">
      <c r="A1042" s="22">
        <v>42334</v>
      </c>
      <c r="B1042">
        <v>1.0609</v>
      </c>
    </row>
    <row r="1043" spans="1:2" x14ac:dyDescent="0.15">
      <c r="A1043" s="22">
        <v>42335</v>
      </c>
      <c r="B1043">
        <v>1.0589999999999999</v>
      </c>
    </row>
    <row r="1044" spans="1:2" x14ac:dyDescent="0.15">
      <c r="A1044" s="22">
        <v>42338</v>
      </c>
      <c r="B1044">
        <v>1.0563</v>
      </c>
    </row>
    <row r="1045" spans="1:2" x14ac:dyDescent="0.15">
      <c r="A1045" s="22">
        <v>42339</v>
      </c>
      <c r="B1045">
        <v>1.0630999999999999</v>
      </c>
    </row>
    <row r="1046" spans="1:2" x14ac:dyDescent="0.15">
      <c r="A1046" s="22">
        <v>42340</v>
      </c>
      <c r="B1046">
        <v>1.0610999999999999</v>
      </c>
    </row>
    <row r="1047" spans="1:2" x14ac:dyDescent="0.15">
      <c r="A1047" s="22">
        <v>42341</v>
      </c>
      <c r="B1047">
        <v>1.0938000000000001</v>
      </c>
    </row>
    <row r="1048" spans="1:2" x14ac:dyDescent="0.15">
      <c r="A1048" s="22">
        <v>42342</v>
      </c>
      <c r="B1048">
        <v>1.0884</v>
      </c>
    </row>
    <row r="1049" spans="1:2" x14ac:dyDescent="0.15">
      <c r="A1049" s="22">
        <v>42345</v>
      </c>
      <c r="B1049">
        <v>1.0834999999999999</v>
      </c>
    </row>
    <row r="1050" spans="1:2" x14ac:dyDescent="0.15">
      <c r="A1050" s="22">
        <v>42346</v>
      </c>
      <c r="B1050">
        <v>1.0892999999999999</v>
      </c>
    </row>
    <row r="1051" spans="1:2" x14ac:dyDescent="0.15">
      <c r="A1051" s="22">
        <v>42347</v>
      </c>
      <c r="B1051">
        <v>1.1025</v>
      </c>
    </row>
    <row r="1052" spans="1:2" x14ac:dyDescent="0.15">
      <c r="A1052" s="22">
        <v>42348</v>
      </c>
      <c r="B1052">
        <v>1.0940000000000001</v>
      </c>
    </row>
    <row r="1053" spans="1:2" x14ac:dyDescent="0.15">
      <c r="A1053" s="22">
        <v>42349</v>
      </c>
      <c r="B1053">
        <v>1.0987</v>
      </c>
    </row>
    <row r="1054" spans="1:2" x14ac:dyDescent="0.15">
      <c r="A1054" s="22">
        <v>42352</v>
      </c>
      <c r="B1054">
        <v>1.099</v>
      </c>
    </row>
    <row r="1055" spans="1:2" x14ac:dyDescent="0.15">
      <c r="A1055" s="22">
        <v>42353</v>
      </c>
      <c r="B1055">
        <v>1.0927</v>
      </c>
    </row>
    <row r="1056" spans="1:2" x14ac:dyDescent="0.15">
      <c r="A1056" s="22">
        <v>42354</v>
      </c>
      <c r="B1056">
        <v>1.0911</v>
      </c>
    </row>
    <row r="1057" spans="1:2" x14ac:dyDescent="0.15">
      <c r="A1057" s="22">
        <v>42355</v>
      </c>
      <c r="B1057">
        <v>1.0825</v>
      </c>
    </row>
    <row r="1058" spans="1:2" x14ac:dyDescent="0.15">
      <c r="A1058" s="22">
        <v>42356</v>
      </c>
      <c r="B1058">
        <v>1.0865</v>
      </c>
    </row>
    <row r="1059" spans="1:2" x14ac:dyDescent="0.15">
      <c r="A1059" s="22">
        <v>42359</v>
      </c>
      <c r="B1059">
        <v>1.0911999999999999</v>
      </c>
    </row>
    <row r="1060" spans="1:2" x14ac:dyDescent="0.15">
      <c r="A1060" s="22">
        <v>42360</v>
      </c>
      <c r="B1060">
        <v>1.0953999999999999</v>
      </c>
    </row>
    <row r="1061" spans="1:2" x14ac:dyDescent="0.15">
      <c r="A1061" s="22">
        <v>42361</v>
      </c>
      <c r="B1061">
        <v>1.0909</v>
      </c>
    </row>
    <row r="1062" spans="1:2" x14ac:dyDescent="0.15">
      <c r="A1062" s="22">
        <v>42362</v>
      </c>
      <c r="B1062">
        <v>1.0969</v>
      </c>
    </row>
    <row r="1063" spans="1:2" x14ac:dyDescent="0.15">
      <c r="A1063" s="22">
        <v>42363</v>
      </c>
      <c r="B1063">
        <v>1.0972999999999999</v>
      </c>
    </row>
    <row r="1064" spans="1:2" x14ac:dyDescent="0.15">
      <c r="A1064" s="22">
        <v>42366</v>
      </c>
      <c r="B1064">
        <v>1.0965</v>
      </c>
    </row>
    <row r="1065" spans="1:2" x14ac:dyDescent="0.15">
      <c r="A1065" s="22">
        <v>42367</v>
      </c>
      <c r="B1065">
        <v>1.0916999999999999</v>
      </c>
    </row>
    <row r="1066" spans="1:2" x14ac:dyDescent="0.15">
      <c r="A1066" s="22">
        <v>42368</v>
      </c>
      <c r="B1066">
        <v>1.0929</v>
      </c>
    </row>
    <row r="1067" spans="1:2" x14ac:dyDescent="0.15">
      <c r="A1067" s="22">
        <v>42369</v>
      </c>
      <c r="B1067">
        <v>1.0860000000000001</v>
      </c>
    </row>
    <row r="1068" spans="1:2" x14ac:dyDescent="0.15">
      <c r="A1068" s="22">
        <v>42370</v>
      </c>
      <c r="B1068">
        <v>1.0858000000000001</v>
      </c>
    </row>
    <row r="1069" spans="1:2" x14ac:dyDescent="0.15">
      <c r="A1069" s="22">
        <v>42373</v>
      </c>
      <c r="B1069">
        <v>1.0829</v>
      </c>
    </row>
    <row r="1070" spans="1:2" x14ac:dyDescent="0.15">
      <c r="A1070" s="22">
        <v>42374</v>
      </c>
      <c r="B1070">
        <v>1.0746</v>
      </c>
    </row>
    <row r="1071" spans="1:2" x14ac:dyDescent="0.15">
      <c r="A1071" s="22">
        <v>42375</v>
      </c>
      <c r="B1071">
        <v>1.0778000000000001</v>
      </c>
    </row>
    <row r="1072" spans="1:2" x14ac:dyDescent="0.15">
      <c r="A1072" s="22">
        <v>42376</v>
      </c>
      <c r="B1072">
        <v>1.0933999999999999</v>
      </c>
    </row>
    <row r="1073" spans="1:2" x14ac:dyDescent="0.15">
      <c r="A1073" s="22">
        <v>42377</v>
      </c>
      <c r="B1073">
        <v>1.0929</v>
      </c>
    </row>
    <row r="1074" spans="1:2" x14ac:dyDescent="0.15">
      <c r="A1074" s="22">
        <v>42380</v>
      </c>
      <c r="B1074">
        <v>1.0859000000000001</v>
      </c>
    </row>
    <row r="1075" spans="1:2" x14ac:dyDescent="0.15">
      <c r="A1075" s="22">
        <v>42381</v>
      </c>
      <c r="B1075">
        <v>1.0853999999999999</v>
      </c>
    </row>
    <row r="1076" spans="1:2" x14ac:dyDescent="0.15">
      <c r="A1076" s="22">
        <v>42382</v>
      </c>
      <c r="B1076">
        <v>1.0872999999999999</v>
      </c>
    </row>
    <row r="1077" spans="1:2" x14ac:dyDescent="0.15">
      <c r="A1077" s="22">
        <v>42383</v>
      </c>
      <c r="B1077">
        <v>1.0864</v>
      </c>
    </row>
    <row r="1078" spans="1:2" x14ac:dyDescent="0.15">
      <c r="A1078" s="22">
        <v>42384</v>
      </c>
      <c r="B1078">
        <v>1.0913999999999999</v>
      </c>
    </row>
    <row r="1079" spans="1:2" x14ac:dyDescent="0.15">
      <c r="A1079" s="22">
        <v>42387</v>
      </c>
      <c r="B1079">
        <v>1.089</v>
      </c>
    </row>
    <row r="1080" spans="1:2" x14ac:dyDescent="0.15">
      <c r="A1080" s="22">
        <v>42388</v>
      </c>
      <c r="B1080">
        <v>1.0905</v>
      </c>
    </row>
    <row r="1081" spans="1:2" x14ac:dyDescent="0.15">
      <c r="A1081" s="22">
        <v>42389</v>
      </c>
      <c r="B1081">
        <v>1.0889</v>
      </c>
    </row>
    <row r="1082" spans="1:2" x14ac:dyDescent="0.15">
      <c r="A1082" s="22">
        <v>42390</v>
      </c>
      <c r="B1082">
        <v>1.0871999999999999</v>
      </c>
    </row>
    <row r="1083" spans="1:2" x14ac:dyDescent="0.15">
      <c r="A1083" s="22">
        <v>42391</v>
      </c>
      <c r="B1083">
        <v>1.0793999999999999</v>
      </c>
    </row>
    <row r="1084" spans="1:2" x14ac:dyDescent="0.15">
      <c r="A1084" s="22">
        <v>42394</v>
      </c>
      <c r="B1084">
        <v>1.0847</v>
      </c>
    </row>
    <row r="1085" spans="1:2" x14ac:dyDescent="0.15">
      <c r="A1085" s="22">
        <v>42395</v>
      </c>
      <c r="B1085">
        <v>1.0869</v>
      </c>
    </row>
    <row r="1086" spans="1:2" x14ac:dyDescent="0.15">
      <c r="A1086" s="22">
        <v>42396</v>
      </c>
      <c r="B1086">
        <v>1.0891</v>
      </c>
    </row>
    <row r="1087" spans="1:2" x14ac:dyDescent="0.15">
      <c r="A1087" s="22">
        <v>42397</v>
      </c>
      <c r="B1087">
        <v>1.0936999999999999</v>
      </c>
    </row>
    <row r="1088" spans="1:2" x14ac:dyDescent="0.15">
      <c r="A1088" s="22">
        <v>42398</v>
      </c>
      <c r="B1088">
        <v>1.0833999999999999</v>
      </c>
    </row>
    <row r="1089" spans="1:2" x14ac:dyDescent="0.15">
      <c r="A1089" s="22">
        <v>42401</v>
      </c>
      <c r="B1089">
        <v>1.0886</v>
      </c>
    </row>
    <row r="1090" spans="1:2" x14ac:dyDescent="0.15">
      <c r="A1090" s="22">
        <v>42402</v>
      </c>
      <c r="B1090">
        <v>1.0915999999999999</v>
      </c>
    </row>
    <row r="1091" spans="1:2" x14ac:dyDescent="0.15">
      <c r="A1091" s="22">
        <v>42403</v>
      </c>
      <c r="B1091">
        <v>1.1103000000000001</v>
      </c>
    </row>
    <row r="1092" spans="1:2" x14ac:dyDescent="0.15">
      <c r="A1092" s="22">
        <v>42404</v>
      </c>
      <c r="B1092">
        <v>1.1206</v>
      </c>
    </row>
    <row r="1093" spans="1:2" x14ac:dyDescent="0.15">
      <c r="A1093" s="22">
        <v>42405</v>
      </c>
      <c r="B1093">
        <v>1.1155999999999999</v>
      </c>
    </row>
    <row r="1094" spans="1:2" x14ac:dyDescent="0.15">
      <c r="A1094" s="22">
        <v>42408</v>
      </c>
      <c r="B1094">
        <v>1.1194999999999999</v>
      </c>
    </row>
    <row r="1095" spans="1:2" x14ac:dyDescent="0.15">
      <c r="A1095" s="22">
        <v>42409</v>
      </c>
      <c r="B1095">
        <v>1.1291</v>
      </c>
    </row>
    <row r="1096" spans="1:2" x14ac:dyDescent="0.15">
      <c r="A1096" s="22">
        <v>42410</v>
      </c>
      <c r="B1096">
        <v>1.1289</v>
      </c>
    </row>
    <row r="1097" spans="1:2" x14ac:dyDescent="0.15">
      <c r="A1097" s="22">
        <v>42411</v>
      </c>
      <c r="B1097">
        <v>1.1321000000000001</v>
      </c>
    </row>
    <row r="1098" spans="1:2" x14ac:dyDescent="0.15">
      <c r="A1098" s="22">
        <v>42412</v>
      </c>
      <c r="B1098">
        <v>1.1257999999999999</v>
      </c>
    </row>
    <row r="1099" spans="1:2" x14ac:dyDescent="0.15">
      <c r="A1099" s="22">
        <v>42415</v>
      </c>
      <c r="B1099">
        <v>1.1153</v>
      </c>
    </row>
    <row r="1100" spans="1:2" x14ac:dyDescent="0.15">
      <c r="A1100" s="22">
        <v>42416</v>
      </c>
      <c r="B1100">
        <v>1.1141000000000001</v>
      </c>
    </row>
    <row r="1101" spans="1:2" x14ac:dyDescent="0.15">
      <c r="A1101" s="22">
        <v>42417</v>
      </c>
      <c r="B1101">
        <v>1.1127</v>
      </c>
    </row>
    <row r="1102" spans="1:2" x14ac:dyDescent="0.15">
      <c r="A1102" s="22">
        <v>42418</v>
      </c>
      <c r="B1102">
        <v>1.1103000000000001</v>
      </c>
    </row>
    <row r="1103" spans="1:2" x14ac:dyDescent="0.15">
      <c r="A1103" s="22">
        <v>42419</v>
      </c>
      <c r="B1103">
        <v>1.1132</v>
      </c>
    </row>
    <row r="1104" spans="1:2" x14ac:dyDescent="0.15">
      <c r="A1104" s="22">
        <v>42422</v>
      </c>
      <c r="B1104">
        <v>1.1026</v>
      </c>
    </row>
    <row r="1105" spans="1:2" x14ac:dyDescent="0.15">
      <c r="A1105" s="22">
        <v>42423</v>
      </c>
      <c r="B1105">
        <v>1.1016999999999999</v>
      </c>
    </row>
    <row r="1106" spans="1:2" x14ac:dyDescent="0.15">
      <c r="A1106" s="22">
        <v>42424</v>
      </c>
      <c r="B1106">
        <v>1.1011</v>
      </c>
    </row>
    <row r="1107" spans="1:2" x14ac:dyDescent="0.15">
      <c r="A1107" s="22">
        <v>42425</v>
      </c>
      <c r="B1107">
        <v>1.1021000000000001</v>
      </c>
    </row>
    <row r="1108" spans="1:2" x14ac:dyDescent="0.15">
      <c r="A1108" s="22">
        <v>42426</v>
      </c>
      <c r="B1108">
        <v>1.0931</v>
      </c>
    </row>
    <row r="1109" spans="1:2" x14ac:dyDescent="0.15">
      <c r="A1109" s="22">
        <v>42429</v>
      </c>
      <c r="B1109">
        <v>1.0871</v>
      </c>
    </row>
    <row r="1110" spans="1:2" x14ac:dyDescent="0.15">
      <c r="A1110" s="22">
        <v>42430</v>
      </c>
      <c r="B1110">
        <v>1.0864</v>
      </c>
    </row>
    <row r="1111" spans="1:2" x14ac:dyDescent="0.15">
      <c r="A1111" s="22">
        <v>42431</v>
      </c>
      <c r="B1111">
        <v>1.0866</v>
      </c>
    </row>
    <row r="1112" spans="1:2" x14ac:dyDescent="0.15">
      <c r="A1112" s="22">
        <v>42432</v>
      </c>
      <c r="B1112">
        <v>1.0954999999999999</v>
      </c>
    </row>
    <row r="1113" spans="1:2" x14ac:dyDescent="0.15">
      <c r="A1113" s="22">
        <v>42433</v>
      </c>
      <c r="B1113">
        <v>1.1001000000000001</v>
      </c>
    </row>
    <row r="1114" spans="1:2" x14ac:dyDescent="0.15">
      <c r="A1114" s="22">
        <v>42436</v>
      </c>
      <c r="B1114">
        <v>1.1012</v>
      </c>
    </row>
    <row r="1115" spans="1:2" x14ac:dyDescent="0.15">
      <c r="A1115" s="22">
        <v>42437</v>
      </c>
      <c r="B1115">
        <v>1.1009</v>
      </c>
    </row>
    <row r="1116" spans="1:2" x14ac:dyDescent="0.15">
      <c r="A1116" s="22">
        <v>42438</v>
      </c>
      <c r="B1116">
        <v>1.0996999999999999</v>
      </c>
    </row>
    <row r="1117" spans="1:2" x14ac:dyDescent="0.15">
      <c r="A1117" s="22">
        <v>42439</v>
      </c>
      <c r="B1117">
        <v>1.1175999999999999</v>
      </c>
    </row>
    <row r="1118" spans="1:2" x14ac:dyDescent="0.15">
      <c r="A1118" s="22">
        <v>42440</v>
      </c>
      <c r="B1118">
        <v>1.115</v>
      </c>
    </row>
    <row r="1119" spans="1:2" x14ac:dyDescent="0.15">
      <c r="A1119" s="22">
        <v>42443</v>
      </c>
      <c r="B1119">
        <v>1.1104000000000001</v>
      </c>
    </row>
    <row r="1120" spans="1:2" x14ac:dyDescent="0.15">
      <c r="A1120" s="22">
        <v>42444</v>
      </c>
      <c r="B1120">
        <v>1.1108</v>
      </c>
    </row>
    <row r="1121" spans="1:2" x14ac:dyDescent="0.15">
      <c r="A1121" s="22">
        <v>42445</v>
      </c>
      <c r="B1121">
        <v>1.1222000000000001</v>
      </c>
    </row>
    <row r="1122" spans="1:2" x14ac:dyDescent="0.15">
      <c r="A1122" s="22">
        <v>42446</v>
      </c>
      <c r="B1122">
        <v>1.1316999999999999</v>
      </c>
    </row>
    <row r="1123" spans="1:2" x14ac:dyDescent="0.15">
      <c r="A1123" s="22">
        <v>42447</v>
      </c>
      <c r="B1123">
        <v>1.1267</v>
      </c>
    </row>
    <row r="1124" spans="1:2" x14ac:dyDescent="0.15">
      <c r="A1124" s="22">
        <v>42450</v>
      </c>
      <c r="B1124">
        <v>1.1238999999999999</v>
      </c>
    </row>
    <row r="1125" spans="1:2" x14ac:dyDescent="0.15">
      <c r="A1125" s="22">
        <v>42451</v>
      </c>
      <c r="B1125">
        <v>1.1214</v>
      </c>
    </row>
    <row r="1126" spans="1:2" x14ac:dyDescent="0.15">
      <c r="A1126" s="22">
        <v>42452</v>
      </c>
      <c r="B1126">
        <v>1.1183000000000001</v>
      </c>
    </row>
    <row r="1127" spans="1:2" x14ac:dyDescent="0.15">
      <c r="A1127" s="22">
        <v>42453</v>
      </c>
      <c r="B1127">
        <v>1.1173</v>
      </c>
    </row>
    <row r="1128" spans="1:2" x14ac:dyDescent="0.15">
      <c r="A1128" s="22">
        <v>42454</v>
      </c>
      <c r="B1128">
        <v>1.1163000000000001</v>
      </c>
    </row>
    <row r="1129" spans="1:2" x14ac:dyDescent="0.15">
      <c r="A1129" s="22">
        <v>42457</v>
      </c>
      <c r="B1129">
        <v>1.1193</v>
      </c>
    </row>
    <row r="1130" spans="1:2" x14ac:dyDescent="0.15">
      <c r="A1130" s="22">
        <v>42458</v>
      </c>
      <c r="B1130">
        <v>1.1289</v>
      </c>
    </row>
    <row r="1131" spans="1:2" x14ac:dyDescent="0.15">
      <c r="A1131" s="22">
        <v>42459</v>
      </c>
      <c r="B1131">
        <v>1.1335999999999999</v>
      </c>
    </row>
    <row r="1132" spans="1:2" x14ac:dyDescent="0.15">
      <c r="A1132" s="22">
        <v>42460</v>
      </c>
      <c r="B1132">
        <v>1.1377999999999999</v>
      </c>
    </row>
    <row r="1133" spans="1:2" x14ac:dyDescent="0.15">
      <c r="A1133" s="22">
        <v>42461</v>
      </c>
      <c r="B1133">
        <v>1.1386000000000001</v>
      </c>
    </row>
    <row r="1134" spans="1:2" x14ac:dyDescent="0.15">
      <c r="A1134" s="22">
        <v>42464</v>
      </c>
      <c r="B1134">
        <v>1.139</v>
      </c>
    </row>
    <row r="1135" spans="1:2" x14ac:dyDescent="0.15">
      <c r="A1135" s="22">
        <v>42465</v>
      </c>
      <c r="B1135">
        <v>1.1382000000000001</v>
      </c>
    </row>
    <row r="1136" spans="1:2" x14ac:dyDescent="0.15">
      <c r="A1136" s="22">
        <v>42466</v>
      </c>
      <c r="B1136">
        <v>1.1396999999999999</v>
      </c>
    </row>
    <row r="1137" spans="1:2" x14ac:dyDescent="0.15">
      <c r="A1137" s="22">
        <v>42467</v>
      </c>
      <c r="B1137">
        <v>1.1375</v>
      </c>
    </row>
    <row r="1138" spans="1:2" x14ac:dyDescent="0.15">
      <c r="A1138" s="22">
        <v>42468</v>
      </c>
      <c r="B1138">
        <v>1.1398999999999999</v>
      </c>
    </row>
    <row r="1139" spans="1:2" x14ac:dyDescent="0.15">
      <c r="A1139" s="22">
        <v>42471</v>
      </c>
      <c r="B1139">
        <v>1.1406000000000001</v>
      </c>
    </row>
    <row r="1140" spans="1:2" x14ac:dyDescent="0.15">
      <c r="A1140" s="22">
        <v>42472</v>
      </c>
      <c r="B1140">
        <v>1.1384000000000001</v>
      </c>
    </row>
    <row r="1141" spans="1:2" x14ac:dyDescent="0.15">
      <c r="A1141" s="22">
        <v>42473</v>
      </c>
      <c r="B1141">
        <v>1.1272</v>
      </c>
    </row>
    <row r="1142" spans="1:2" x14ac:dyDescent="0.15">
      <c r="A1142" s="22">
        <v>42474</v>
      </c>
      <c r="B1142">
        <v>1.1266</v>
      </c>
    </row>
    <row r="1143" spans="1:2" x14ac:dyDescent="0.15">
      <c r="A1143" s="22">
        <v>42475</v>
      </c>
      <c r="B1143">
        <v>1.1279999999999999</v>
      </c>
    </row>
    <row r="1144" spans="1:2" x14ac:dyDescent="0.15">
      <c r="A1144" s="22">
        <v>42478</v>
      </c>
      <c r="B1144">
        <v>1.1312</v>
      </c>
    </row>
    <row r="1145" spans="1:2" x14ac:dyDescent="0.15">
      <c r="A1145" s="22">
        <v>42479</v>
      </c>
      <c r="B1145">
        <v>1.1355999999999999</v>
      </c>
    </row>
    <row r="1146" spans="1:2" x14ac:dyDescent="0.15">
      <c r="A1146" s="22">
        <v>42480</v>
      </c>
      <c r="B1146">
        <v>1.1294999999999999</v>
      </c>
    </row>
    <row r="1147" spans="1:2" x14ac:dyDescent="0.15">
      <c r="A1147" s="22">
        <v>42481</v>
      </c>
      <c r="B1147">
        <v>1.1286</v>
      </c>
    </row>
    <row r="1148" spans="1:2" x14ac:dyDescent="0.15">
      <c r="A1148" s="22">
        <v>42482</v>
      </c>
      <c r="B1148">
        <v>1.123</v>
      </c>
    </row>
    <row r="1149" spans="1:2" x14ac:dyDescent="0.15">
      <c r="A1149" s="22">
        <v>42485</v>
      </c>
      <c r="B1149">
        <v>1.1263000000000001</v>
      </c>
    </row>
    <row r="1150" spans="1:2" x14ac:dyDescent="0.15">
      <c r="A1150" s="22">
        <v>42486</v>
      </c>
      <c r="B1150">
        <v>1.1297999999999999</v>
      </c>
    </row>
    <row r="1151" spans="1:2" x14ac:dyDescent="0.15">
      <c r="A1151" s="22">
        <v>42487</v>
      </c>
      <c r="B1151">
        <v>1.1318999999999999</v>
      </c>
    </row>
    <row r="1152" spans="1:2" x14ac:dyDescent="0.15">
      <c r="A1152" s="22">
        <v>42488</v>
      </c>
      <c r="B1152">
        <v>1.1351</v>
      </c>
    </row>
    <row r="1153" spans="1:2" x14ac:dyDescent="0.15">
      <c r="A1153" s="22">
        <v>42489</v>
      </c>
      <c r="B1153">
        <v>1.1454</v>
      </c>
    </row>
    <row r="1154" spans="1:2" x14ac:dyDescent="0.15">
      <c r="A1154" s="22">
        <v>42492</v>
      </c>
      <c r="B1154">
        <v>1.1529</v>
      </c>
    </row>
    <row r="1155" spans="1:2" x14ac:dyDescent="0.15">
      <c r="A1155" s="22">
        <v>42493</v>
      </c>
      <c r="B1155">
        <v>1.1495</v>
      </c>
    </row>
    <row r="1156" spans="1:2" x14ac:dyDescent="0.15">
      <c r="A1156" s="22">
        <v>42494</v>
      </c>
      <c r="B1156">
        <v>1.1485000000000001</v>
      </c>
    </row>
    <row r="1157" spans="1:2" x14ac:dyDescent="0.15">
      <c r="A1157" s="22">
        <v>42495</v>
      </c>
      <c r="B1157">
        <v>1.1404000000000001</v>
      </c>
    </row>
    <row r="1158" spans="1:2" x14ac:dyDescent="0.15">
      <c r="A1158" s="22">
        <v>42496</v>
      </c>
      <c r="B1158">
        <v>1.1402000000000001</v>
      </c>
    </row>
    <row r="1159" spans="1:2" x14ac:dyDescent="0.15">
      <c r="A1159" s="22">
        <v>42499</v>
      </c>
      <c r="B1159">
        <v>1.1380999999999999</v>
      </c>
    </row>
    <row r="1160" spans="1:2" x14ac:dyDescent="0.15">
      <c r="A1160" s="22">
        <v>42500</v>
      </c>
      <c r="B1160">
        <v>1.1368</v>
      </c>
    </row>
    <row r="1161" spans="1:2" x14ac:dyDescent="0.15">
      <c r="A1161" s="22">
        <v>42501</v>
      </c>
      <c r="B1161">
        <v>1.1425000000000001</v>
      </c>
    </row>
    <row r="1162" spans="1:2" x14ac:dyDescent="0.15">
      <c r="A1162" s="22">
        <v>42502</v>
      </c>
      <c r="B1162">
        <v>1.1375</v>
      </c>
    </row>
    <row r="1163" spans="1:2" x14ac:dyDescent="0.15">
      <c r="A1163" s="22">
        <v>42503</v>
      </c>
      <c r="B1163">
        <v>1.1305000000000001</v>
      </c>
    </row>
    <row r="1164" spans="1:2" x14ac:dyDescent="0.15">
      <c r="A1164" s="22">
        <v>42506</v>
      </c>
      <c r="B1164">
        <v>1.1315999999999999</v>
      </c>
    </row>
    <row r="1165" spans="1:2" x14ac:dyDescent="0.15">
      <c r="A1165" s="22">
        <v>42507</v>
      </c>
      <c r="B1165">
        <v>1.1311</v>
      </c>
    </row>
    <row r="1166" spans="1:2" x14ac:dyDescent="0.15">
      <c r="A1166" s="22">
        <v>42508</v>
      </c>
      <c r="B1166">
        <v>1.1214999999999999</v>
      </c>
    </row>
    <row r="1167" spans="1:2" x14ac:dyDescent="0.15">
      <c r="A1167" s="22">
        <v>42509</v>
      </c>
      <c r="B1167">
        <v>1.1202000000000001</v>
      </c>
    </row>
    <row r="1168" spans="1:2" x14ac:dyDescent="0.15">
      <c r="A1168" s="22">
        <v>42510</v>
      </c>
      <c r="B1168">
        <v>1.1222000000000001</v>
      </c>
    </row>
    <row r="1169" spans="1:2" x14ac:dyDescent="0.15">
      <c r="A1169" s="22">
        <v>42513</v>
      </c>
      <c r="B1169">
        <v>1.1215999999999999</v>
      </c>
    </row>
    <row r="1170" spans="1:2" x14ac:dyDescent="0.15">
      <c r="A1170" s="22">
        <v>42514</v>
      </c>
      <c r="B1170">
        <v>1.1140000000000001</v>
      </c>
    </row>
    <row r="1171" spans="1:2" x14ac:dyDescent="0.15">
      <c r="A1171" s="22">
        <v>42515</v>
      </c>
      <c r="B1171">
        <v>1.1153</v>
      </c>
    </row>
    <row r="1172" spans="1:2" x14ac:dyDescent="0.15">
      <c r="A1172" s="22">
        <v>42516</v>
      </c>
      <c r="B1172">
        <v>1.1192</v>
      </c>
    </row>
    <row r="1173" spans="1:2" x14ac:dyDescent="0.15">
      <c r="A1173" s="22">
        <v>42517</v>
      </c>
      <c r="B1173">
        <v>1.1113999999999999</v>
      </c>
    </row>
    <row r="1174" spans="1:2" x14ac:dyDescent="0.15">
      <c r="A1174" s="22">
        <v>42520</v>
      </c>
      <c r="B1174">
        <v>1.1144000000000001</v>
      </c>
    </row>
    <row r="1175" spans="1:2" x14ac:dyDescent="0.15">
      <c r="A1175" s="22">
        <v>42521</v>
      </c>
      <c r="B1175">
        <v>1.1129</v>
      </c>
    </row>
    <row r="1176" spans="1:2" x14ac:dyDescent="0.15">
      <c r="A1176" s="22">
        <v>42522</v>
      </c>
      <c r="B1176">
        <v>1.1185</v>
      </c>
    </row>
    <row r="1177" spans="1:2" x14ac:dyDescent="0.15">
      <c r="A1177" s="22">
        <v>42523</v>
      </c>
      <c r="B1177">
        <v>1.1149</v>
      </c>
    </row>
    <row r="1178" spans="1:2" x14ac:dyDescent="0.15">
      <c r="A1178" s="22">
        <v>42524</v>
      </c>
      <c r="B1178">
        <v>1.1365000000000001</v>
      </c>
    </row>
    <row r="1179" spans="1:2" x14ac:dyDescent="0.15">
      <c r="A1179" s="22">
        <v>42527</v>
      </c>
      <c r="B1179">
        <v>1.1351</v>
      </c>
    </row>
    <row r="1180" spans="1:2" x14ac:dyDescent="0.15">
      <c r="A1180" s="22">
        <v>42528</v>
      </c>
      <c r="B1180">
        <v>1.1355999999999999</v>
      </c>
    </row>
    <row r="1181" spans="1:2" x14ac:dyDescent="0.15">
      <c r="A1181" s="22">
        <v>42529</v>
      </c>
      <c r="B1181">
        <v>1.1392</v>
      </c>
    </row>
    <row r="1182" spans="1:2" x14ac:dyDescent="0.15">
      <c r="A1182" s="22">
        <v>42530</v>
      </c>
      <c r="B1182">
        <v>1.1314</v>
      </c>
    </row>
    <row r="1183" spans="1:2" x14ac:dyDescent="0.15">
      <c r="A1183" s="22">
        <v>42531</v>
      </c>
      <c r="B1183">
        <v>1.1249</v>
      </c>
    </row>
    <row r="1184" spans="1:2" x14ac:dyDescent="0.15">
      <c r="A1184" s="22">
        <v>42534</v>
      </c>
      <c r="B1184">
        <v>1.129</v>
      </c>
    </row>
    <row r="1185" spans="1:2" x14ac:dyDescent="0.15">
      <c r="A1185" s="22">
        <v>42535</v>
      </c>
      <c r="B1185">
        <v>1.1206</v>
      </c>
    </row>
    <row r="1186" spans="1:2" x14ac:dyDescent="0.15">
      <c r="A1186" s="22">
        <v>42536</v>
      </c>
      <c r="B1186">
        <v>1.1256999999999999</v>
      </c>
    </row>
    <row r="1187" spans="1:2" x14ac:dyDescent="0.15">
      <c r="A1187" s="22">
        <v>42537</v>
      </c>
      <c r="B1187">
        <v>1.1223000000000001</v>
      </c>
    </row>
    <row r="1188" spans="1:2" x14ac:dyDescent="0.15">
      <c r="A1188" s="22">
        <v>42538</v>
      </c>
      <c r="B1188">
        <v>1.1274</v>
      </c>
    </row>
    <row r="1189" spans="1:2" x14ac:dyDescent="0.15">
      <c r="A1189" s="22">
        <v>42541</v>
      </c>
      <c r="B1189">
        <v>1.131</v>
      </c>
    </row>
    <row r="1190" spans="1:2" x14ac:dyDescent="0.15">
      <c r="A1190" s="22">
        <v>42542</v>
      </c>
      <c r="B1190">
        <v>1.1240000000000001</v>
      </c>
    </row>
    <row r="1191" spans="1:2" x14ac:dyDescent="0.15">
      <c r="A1191" s="22">
        <v>42543</v>
      </c>
      <c r="B1191">
        <v>1.1294999999999999</v>
      </c>
    </row>
    <row r="1192" spans="1:2" x14ac:dyDescent="0.15">
      <c r="A1192" s="22">
        <v>42544</v>
      </c>
      <c r="B1192">
        <v>1.1385000000000001</v>
      </c>
    </row>
    <row r="1193" spans="1:2" x14ac:dyDescent="0.15">
      <c r="A1193" s="22">
        <v>42545</v>
      </c>
      <c r="B1193">
        <v>1.1114999999999999</v>
      </c>
    </row>
    <row r="1194" spans="1:2" x14ac:dyDescent="0.15">
      <c r="A1194" s="22">
        <v>42548</v>
      </c>
      <c r="B1194">
        <v>1.1022000000000001</v>
      </c>
    </row>
    <row r="1195" spans="1:2" x14ac:dyDescent="0.15">
      <c r="A1195" s="22">
        <v>42549</v>
      </c>
      <c r="B1195">
        <v>1.1065</v>
      </c>
    </row>
    <row r="1196" spans="1:2" x14ac:dyDescent="0.15">
      <c r="A1196" s="22">
        <v>42550</v>
      </c>
      <c r="B1196">
        <v>1.1123000000000001</v>
      </c>
    </row>
    <row r="1197" spans="1:2" x14ac:dyDescent="0.15">
      <c r="A1197" s="22">
        <v>42551</v>
      </c>
      <c r="B1197">
        <v>1.1104000000000001</v>
      </c>
    </row>
    <row r="1198" spans="1:2" x14ac:dyDescent="0.15">
      <c r="A1198" s="22">
        <v>42552</v>
      </c>
      <c r="B1198">
        <v>1.1134999999999999</v>
      </c>
    </row>
    <row r="1199" spans="1:2" x14ac:dyDescent="0.15">
      <c r="A1199" s="22">
        <v>42555</v>
      </c>
      <c r="B1199">
        <v>1.1153999999999999</v>
      </c>
    </row>
    <row r="1200" spans="1:2" x14ac:dyDescent="0.15">
      <c r="A1200" s="22">
        <v>42556</v>
      </c>
      <c r="B1200">
        <v>1.1074999999999999</v>
      </c>
    </row>
    <row r="1201" spans="1:2" x14ac:dyDescent="0.15">
      <c r="A1201" s="22">
        <v>42557</v>
      </c>
      <c r="B1201">
        <v>1.1099000000000001</v>
      </c>
    </row>
    <row r="1202" spans="1:2" x14ac:dyDescent="0.15">
      <c r="A1202" s="22">
        <v>42558</v>
      </c>
      <c r="B1202">
        <v>1.1059000000000001</v>
      </c>
    </row>
    <row r="1203" spans="1:2" x14ac:dyDescent="0.15">
      <c r="A1203" s="22">
        <v>42559</v>
      </c>
      <c r="B1203">
        <v>1.1052</v>
      </c>
    </row>
    <row r="1204" spans="1:2" x14ac:dyDescent="0.15">
      <c r="A1204" s="22">
        <v>42562</v>
      </c>
      <c r="B1204">
        <v>1.1055999999999999</v>
      </c>
    </row>
    <row r="1205" spans="1:2" x14ac:dyDescent="0.15">
      <c r="A1205" s="22">
        <v>42563</v>
      </c>
      <c r="B1205">
        <v>1.1056999999999999</v>
      </c>
    </row>
    <row r="1206" spans="1:2" x14ac:dyDescent="0.15">
      <c r="A1206" s="22">
        <v>42564</v>
      </c>
      <c r="B1206">
        <v>1.1088</v>
      </c>
    </row>
    <row r="1207" spans="1:2" x14ac:dyDescent="0.15">
      <c r="A1207" s="22">
        <v>42565</v>
      </c>
      <c r="B1207">
        <v>1.1117999999999999</v>
      </c>
    </row>
    <row r="1208" spans="1:2" x14ac:dyDescent="0.15">
      <c r="A1208" s="22">
        <v>42566</v>
      </c>
      <c r="B1208">
        <v>1.1033999999999999</v>
      </c>
    </row>
    <row r="1209" spans="1:2" x14ac:dyDescent="0.15">
      <c r="A1209" s="22">
        <v>42569</v>
      </c>
      <c r="B1209">
        <v>1.1071</v>
      </c>
    </row>
    <row r="1210" spans="1:2" x14ac:dyDescent="0.15">
      <c r="A1210" s="22">
        <v>42570</v>
      </c>
      <c r="B1210">
        <v>1.1021000000000001</v>
      </c>
    </row>
    <row r="1211" spans="1:2" x14ac:dyDescent="0.15">
      <c r="A1211" s="22">
        <v>42571</v>
      </c>
      <c r="B1211">
        <v>1.1012999999999999</v>
      </c>
    </row>
    <row r="1212" spans="1:2" x14ac:dyDescent="0.15">
      <c r="A1212" s="22">
        <v>42572</v>
      </c>
      <c r="B1212">
        <v>1.1023000000000001</v>
      </c>
    </row>
    <row r="1213" spans="1:2" x14ac:dyDescent="0.15">
      <c r="A1213" s="22">
        <v>42573</v>
      </c>
      <c r="B1213">
        <v>1.0972999999999999</v>
      </c>
    </row>
    <row r="1214" spans="1:2" x14ac:dyDescent="0.15">
      <c r="A1214" s="22">
        <v>42576</v>
      </c>
      <c r="B1214">
        <v>1.099</v>
      </c>
    </row>
    <row r="1215" spans="1:2" x14ac:dyDescent="0.15">
      <c r="A1215" s="22">
        <v>42577</v>
      </c>
      <c r="B1215">
        <v>1.0986</v>
      </c>
    </row>
    <row r="1216" spans="1:2" x14ac:dyDescent="0.15">
      <c r="A1216" s="22">
        <v>42578</v>
      </c>
      <c r="B1216">
        <v>1.1054999999999999</v>
      </c>
    </row>
    <row r="1217" spans="1:2" x14ac:dyDescent="0.15">
      <c r="A1217" s="22">
        <v>42579</v>
      </c>
      <c r="B1217">
        <v>1.1073999999999999</v>
      </c>
    </row>
    <row r="1218" spans="1:2" x14ac:dyDescent="0.15">
      <c r="A1218" s="22">
        <v>42580</v>
      </c>
      <c r="B1218">
        <v>1.117</v>
      </c>
    </row>
    <row r="1219" spans="1:2" x14ac:dyDescent="0.15">
      <c r="A1219" s="22">
        <v>42583</v>
      </c>
      <c r="B1219">
        <v>1.1158999999999999</v>
      </c>
    </row>
    <row r="1220" spans="1:2" x14ac:dyDescent="0.15">
      <c r="A1220" s="22">
        <v>42584</v>
      </c>
      <c r="B1220">
        <v>1.1225000000000001</v>
      </c>
    </row>
    <row r="1221" spans="1:2" x14ac:dyDescent="0.15">
      <c r="A1221" s="22">
        <v>42585</v>
      </c>
      <c r="B1221">
        <v>1.1147</v>
      </c>
    </row>
    <row r="1222" spans="1:2" x14ac:dyDescent="0.15">
      <c r="A1222" s="22">
        <v>42586</v>
      </c>
      <c r="B1222">
        <v>1.1128</v>
      </c>
    </row>
    <row r="1223" spans="1:2" x14ac:dyDescent="0.15">
      <c r="A1223" s="22">
        <v>42587</v>
      </c>
      <c r="B1223">
        <v>1.1085</v>
      </c>
    </row>
    <row r="1224" spans="1:2" x14ac:dyDescent="0.15">
      <c r="A1224" s="22">
        <v>42590</v>
      </c>
      <c r="B1224">
        <v>1.109</v>
      </c>
    </row>
    <row r="1225" spans="1:2" x14ac:dyDescent="0.15">
      <c r="A1225" s="22">
        <v>42591</v>
      </c>
      <c r="B1225">
        <v>1.1116999999999999</v>
      </c>
    </row>
    <row r="1226" spans="1:2" x14ac:dyDescent="0.15">
      <c r="A1226" s="22">
        <v>42592</v>
      </c>
      <c r="B1226">
        <v>1.1173999999999999</v>
      </c>
    </row>
    <row r="1227" spans="1:2" x14ac:dyDescent="0.15">
      <c r="A1227" s="22">
        <v>42593</v>
      </c>
      <c r="B1227">
        <v>1.1134999999999999</v>
      </c>
    </row>
    <row r="1228" spans="1:2" x14ac:dyDescent="0.15">
      <c r="A1228" s="22">
        <v>42594</v>
      </c>
      <c r="B1228">
        <v>1.1157999999999999</v>
      </c>
    </row>
    <row r="1229" spans="1:2" x14ac:dyDescent="0.15">
      <c r="A1229" s="22">
        <v>42597</v>
      </c>
      <c r="B1229">
        <v>1.1183000000000001</v>
      </c>
    </row>
    <row r="1230" spans="1:2" x14ac:dyDescent="0.15">
      <c r="A1230" s="22">
        <v>42598</v>
      </c>
      <c r="B1230">
        <v>1.1275999999999999</v>
      </c>
    </row>
    <row r="1231" spans="1:2" x14ac:dyDescent="0.15">
      <c r="A1231" s="22">
        <v>42599</v>
      </c>
      <c r="B1231">
        <v>1.1286</v>
      </c>
    </row>
    <row r="1232" spans="1:2" x14ac:dyDescent="0.15">
      <c r="A1232" s="22">
        <v>42600</v>
      </c>
      <c r="B1232">
        <v>1.1352</v>
      </c>
    </row>
    <row r="1233" spans="1:2" x14ac:dyDescent="0.15">
      <c r="A1233" s="22">
        <v>42601</v>
      </c>
      <c r="B1233">
        <v>1.1325000000000001</v>
      </c>
    </row>
    <row r="1234" spans="1:2" x14ac:dyDescent="0.15">
      <c r="A1234" s="22">
        <v>42604</v>
      </c>
      <c r="B1234">
        <v>1.1315</v>
      </c>
    </row>
    <row r="1235" spans="1:2" x14ac:dyDescent="0.15">
      <c r="A1235" s="22">
        <v>42605</v>
      </c>
      <c r="B1235">
        <v>1.1303000000000001</v>
      </c>
    </row>
    <row r="1236" spans="1:2" x14ac:dyDescent="0.15">
      <c r="A1236" s="22">
        <v>42606</v>
      </c>
      <c r="B1236">
        <v>1.1261000000000001</v>
      </c>
    </row>
    <row r="1237" spans="1:2" x14ac:dyDescent="0.15">
      <c r="A1237" s="22">
        <v>42607</v>
      </c>
      <c r="B1237">
        <v>1.1278999999999999</v>
      </c>
    </row>
    <row r="1238" spans="1:2" x14ac:dyDescent="0.15">
      <c r="A1238" s="22">
        <v>42608</v>
      </c>
      <c r="B1238">
        <v>1.1194999999999999</v>
      </c>
    </row>
    <row r="1239" spans="1:2" x14ac:dyDescent="0.15">
      <c r="A1239" s="22">
        <v>42611</v>
      </c>
      <c r="B1239">
        <v>1.1188</v>
      </c>
    </row>
    <row r="1240" spans="1:2" x14ac:dyDescent="0.15">
      <c r="A1240" s="22">
        <v>42612</v>
      </c>
      <c r="B1240">
        <v>1.1141000000000001</v>
      </c>
    </row>
    <row r="1241" spans="1:2" x14ac:dyDescent="0.15">
      <c r="A1241" s="22">
        <v>42613</v>
      </c>
      <c r="B1241">
        <v>1.1155999999999999</v>
      </c>
    </row>
    <row r="1242" spans="1:2" x14ac:dyDescent="0.15">
      <c r="A1242" s="22">
        <v>42614</v>
      </c>
      <c r="B1242">
        <v>1.1195999999999999</v>
      </c>
    </row>
    <row r="1243" spans="1:2" x14ac:dyDescent="0.15">
      <c r="A1243" s="22">
        <v>42615</v>
      </c>
      <c r="B1243">
        <v>1.1153</v>
      </c>
    </row>
    <row r="1244" spans="1:2" x14ac:dyDescent="0.15">
      <c r="A1244" s="22">
        <v>42618</v>
      </c>
      <c r="B1244">
        <v>1.1144000000000001</v>
      </c>
    </row>
    <row r="1245" spans="1:2" x14ac:dyDescent="0.15">
      <c r="A1245" s="22">
        <v>42619</v>
      </c>
      <c r="B1245">
        <v>1.1252</v>
      </c>
    </row>
    <row r="1246" spans="1:2" x14ac:dyDescent="0.15">
      <c r="A1246" s="22">
        <v>42620</v>
      </c>
      <c r="B1246">
        <v>1.1236999999999999</v>
      </c>
    </row>
    <row r="1247" spans="1:2" x14ac:dyDescent="0.15">
      <c r="A1247" s="22">
        <v>42621</v>
      </c>
      <c r="B1247">
        <v>1.1257999999999999</v>
      </c>
    </row>
    <row r="1248" spans="1:2" x14ac:dyDescent="0.15">
      <c r="A1248" s="22">
        <v>42622</v>
      </c>
      <c r="B1248">
        <v>1.1229</v>
      </c>
    </row>
    <row r="1249" spans="1:2" x14ac:dyDescent="0.15">
      <c r="A1249" s="22">
        <v>42625</v>
      </c>
      <c r="B1249">
        <v>1.1232</v>
      </c>
    </row>
    <row r="1250" spans="1:2" x14ac:dyDescent="0.15">
      <c r="A1250" s="22">
        <v>42626</v>
      </c>
      <c r="B1250">
        <v>1.1216999999999999</v>
      </c>
    </row>
    <row r="1251" spans="1:2" x14ac:dyDescent="0.15">
      <c r="A1251" s="22">
        <v>42627</v>
      </c>
      <c r="B1251">
        <v>1.1249</v>
      </c>
    </row>
    <row r="1252" spans="1:2" x14ac:dyDescent="0.15">
      <c r="A1252" s="22">
        <v>42628</v>
      </c>
      <c r="B1252">
        <v>1.1241000000000001</v>
      </c>
    </row>
    <row r="1253" spans="1:2" x14ac:dyDescent="0.15">
      <c r="A1253" s="22">
        <v>42629</v>
      </c>
      <c r="B1253">
        <v>1.1153</v>
      </c>
    </row>
    <row r="1254" spans="1:2" x14ac:dyDescent="0.15">
      <c r="A1254" s="22">
        <v>42632</v>
      </c>
      <c r="B1254">
        <v>1.1173</v>
      </c>
    </row>
    <row r="1255" spans="1:2" x14ac:dyDescent="0.15">
      <c r="A1255" s="22">
        <v>42633</v>
      </c>
      <c r="B1255">
        <v>1.1152</v>
      </c>
    </row>
    <row r="1256" spans="1:2" x14ac:dyDescent="0.15">
      <c r="A1256" s="22">
        <v>42634</v>
      </c>
      <c r="B1256">
        <v>1.1185</v>
      </c>
    </row>
    <row r="1257" spans="1:2" x14ac:dyDescent="0.15">
      <c r="A1257" s="22">
        <v>42635</v>
      </c>
      <c r="B1257">
        <v>1.1207</v>
      </c>
    </row>
    <row r="1258" spans="1:2" x14ac:dyDescent="0.15">
      <c r="A1258" s="22">
        <v>42636</v>
      </c>
      <c r="B1258">
        <v>1.1222000000000001</v>
      </c>
    </row>
    <row r="1259" spans="1:2" x14ac:dyDescent="0.15">
      <c r="A1259" s="22">
        <v>42639</v>
      </c>
      <c r="B1259">
        <v>1.1253</v>
      </c>
    </row>
    <row r="1260" spans="1:2" x14ac:dyDescent="0.15">
      <c r="A1260" s="22">
        <v>42640</v>
      </c>
      <c r="B1260">
        <v>1.1213</v>
      </c>
    </row>
    <row r="1261" spans="1:2" x14ac:dyDescent="0.15">
      <c r="A1261" s="22">
        <v>42641</v>
      </c>
      <c r="B1261">
        <v>1.1214</v>
      </c>
    </row>
    <row r="1262" spans="1:2" x14ac:dyDescent="0.15">
      <c r="A1262" s="22">
        <v>42642</v>
      </c>
      <c r="B1262">
        <v>1.1221000000000001</v>
      </c>
    </row>
    <row r="1263" spans="1:2" x14ac:dyDescent="0.15">
      <c r="A1263" s="22">
        <v>42643</v>
      </c>
      <c r="B1263">
        <v>1.1237999999999999</v>
      </c>
    </row>
    <row r="1264" spans="1:2" x14ac:dyDescent="0.15">
      <c r="A1264" s="22">
        <v>42646</v>
      </c>
      <c r="B1264">
        <v>1.1209</v>
      </c>
    </row>
    <row r="1265" spans="1:2" x14ac:dyDescent="0.15">
      <c r="A1265" s="22">
        <v>42647</v>
      </c>
      <c r="B1265">
        <v>1.1202000000000001</v>
      </c>
    </row>
    <row r="1266" spans="1:2" x14ac:dyDescent="0.15">
      <c r="A1266" s="22">
        <v>42648</v>
      </c>
      <c r="B1266">
        <v>1.1202000000000001</v>
      </c>
    </row>
    <row r="1267" spans="1:2" x14ac:dyDescent="0.15">
      <c r="A1267" s="22">
        <v>42649</v>
      </c>
      <c r="B1267">
        <v>1.1149</v>
      </c>
    </row>
    <row r="1268" spans="1:2" x14ac:dyDescent="0.15">
      <c r="A1268" s="22">
        <v>42650</v>
      </c>
      <c r="B1268">
        <v>1.1198999999999999</v>
      </c>
    </row>
    <row r="1269" spans="1:2" x14ac:dyDescent="0.15">
      <c r="A1269" s="22">
        <v>42653</v>
      </c>
      <c r="B1269">
        <v>1.1136999999999999</v>
      </c>
    </row>
    <row r="1270" spans="1:2" x14ac:dyDescent="0.15">
      <c r="A1270" s="22">
        <v>42654</v>
      </c>
      <c r="B1270">
        <v>1.1052999999999999</v>
      </c>
    </row>
    <row r="1271" spans="1:2" x14ac:dyDescent="0.15">
      <c r="A1271" s="22">
        <v>42655</v>
      </c>
      <c r="B1271">
        <v>1.1006</v>
      </c>
    </row>
    <row r="1272" spans="1:2" x14ac:dyDescent="0.15">
      <c r="A1272" s="22">
        <v>42656</v>
      </c>
      <c r="B1272">
        <v>1.1055999999999999</v>
      </c>
    </row>
    <row r="1273" spans="1:2" x14ac:dyDescent="0.15">
      <c r="A1273" s="22">
        <v>42657</v>
      </c>
      <c r="B1273">
        <v>1.0969</v>
      </c>
    </row>
    <row r="1274" spans="1:2" x14ac:dyDescent="0.15">
      <c r="A1274" s="22">
        <v>42660</v>
      </c>
      <c r="B1274">
        <v>1.0996999999999999</v>
      </c>
    </row>
    <row r="1275" spans="1:2" x14ac:dyDescent="0.15">
      <c r="A1275" s="22">
        <v>42661</v>
      </c>
      <c r="B1275">
        <v>1.0978000000000001</v>
      </c>
    </row>
    <row r="1276" spans="1:2" x14ac:dyDescent="0.15">
      <c r="A1276" s="22">
        <v>42662</v>
      </c>
      <c r="B1276">
        <v>1.0972</v>
      </c>
    </row>
    <row r="1277" spans="1:2" x14ac:dyDescent="0.15">
      <c r="A1277" s="22">
        <v>42663</v>
      </c>
      <c r="B1277">
        <v>1.0928</v>
      </c>
    </row>
    <row r="1278" spans="1:2" x14ac:dyDescent="0.15">
      <c r="A1278" s="22">
        <v>42664</v>
      </c>
      <c r="B1278">
        <v>1.0882000000000001</v>
      </c>
    </row>
    <row r="1279" spans="1:2" x14ac:dyDescent="0.15">
      <c r="A1279" s="22">
        <v>42667</v>
      </c>
      <c r="B1279">
        <v>1.0880000000000001</v>
      </c>
    </row>
    <row r="1280" spans="1:2" x14ac:dyDescent="0.15">
      <c r="A1280" s="22">
        <v>42668</v>
      </c>
      <c r="B1280">
        <v>1.0886</v>
      </c>
    </row>
    <row r="1281" spans="1:2" x14ac:dyDescent="0.15">
      <c r="A1281" s="22">
        <v>42669</v>
      </c>
      <c r="B1281">
        <v>1.0907</v>
      </c>
    </row>
    <row r="1282" spans="1:2" x14ac:dyDescent="0.15">
      <c r="A1282" s="22">
        <v>42670</v>
      </c>
      <c r="B1282">
        <v>1.0893999999999999</v>
      </c>
    </row>
    <row r="1283" spans="1:2" x14ac:dyDescent="0.15">
      <c r="A1283" s="22">
        <v>42671</v>
      </c>
      <c r="B1283">
        <v>1.0983000000000001</v>
      </c>
    </row>
    <row r="1284" spans="1:2" x14ac:dyDescent="0.15">
      <c r="A1284" s="22">
        <v>42674</v>
      </c>
      <c r="B1284">
        <v>1.0979000000000001</v>
      </c>
    </row>
    <row r="1285" spans="1:2" x14ac:dyDescent="0.15">
      <c r="A1285" s="22">
        <v>42675</v>
      </c>
      <c r="B1285">
        <v>1.1052999999999999</v>
      </c>
    </row>
    <row r="1286" spans="1:2" x14ac:dyDescent="0.15">
      <c r="A1286" s="22">
        <v>42676</v>
      </c>
      <c r="B1286">
        <v>1.1093999999999999</v>
      </c>
    </row>
    <row r="1287" spans="1:2" x14ac:dyDescent="0.15">
      <c r="A1287" s="22">
        <v>42677</v>
      </c>
      <c r="B1287">
        <v>1.1103000000000001</v>
      </c>
    </row>
    <row r="1288" spans="1:2" x14ac:dyDescent="0.15">
      <c r="A1288" s="22">
        <v>42678</v>
      </c>
      <c r="B1288">
        <v>1.1134999999999999</v>
      </c>
    </row>
    <row r="1289" spans="1:2" x14ac:dyDescent="0.15">
      <c r="A1289" s="22">
        <v>42681</v>
      </c>
      <c r="B1289">
        <v>1.1037999999999999</v>
      </c>
    </row>
    <row r="1290" spans="1:2" x14ac:dyDescent="0.15">
      <c r="A1290" s="22">
        <v>42682</v>
      </c>
      <c r="B1290">
        <v>1.1023000000000001</v>
      </c>
    </row>
    <row r="1291" spans="1:2" x14ac:dyDescent="0.15">
      <c r="A1291" s="22">
        <v>42683</v>
      </c>
      <c r="B1291">
        <v>1.0909</v>
      </c>
    </row>
    <row r="1292" spans="1:2" x14ac:dyDescent="0.15">
      <c r="A1292" s="22">
        <v>42684</v>
      </c>
      <c r="B1292">
        <v>1.0889</v>
      </c>
    </row>
    <row r="1293" spans="1:2" x14ac:dyDescent="0.15">
      <c r="A1293" s="22">
        <v>42685</v>
      </c>
      <c r="B1293">
        <v>1.085</v>
      </c>
    </row>
    <row r="1294" spans="1:2" x14ac:dyDescent="0.15">
      <c r="A1294" s="22">
        <v>42688</v>
      </c>
      <c r="B1294">
        <v>1.0733999999999999</v>
      </c>
    </row>
    <row r="1295" spans="1:2" x14ac:dyDescent="0.15">
      <c r="A1295" s="22">
        <v>42689</v>
      </c>
      <c r="B1295">
        <v>1.0720000000000001</v>
      </c>
    </row>
    <row r="1296" spans="1:2" x14ac:dyDescent="0.15">
      <c r="A1296" s="22">
        <v>42690</v>
      </c>
      <c r="B1296">
        <v>1.0685</v>
      </c>
    </row>
    <row r="1297" spans="1:2" x14ac:dyDescent="0.15">
      <c r="A1297" s="22">
        <v>42691</v>
      </c>
      <c r="B1297">
        <v>1.0625</v>
      </c>
    </row>
    <row r="1298" spans="1:2" x14ac:dyDescent="0.15">
      <c r="A1298" s="22">
        <v>42692</v>
      </c>
      <c r="B1298">
        <v>1.0585</v>
      </c>
    </row>
    <row r="1299" spans="1:2" x14ac:dyDescent="0.15">
      <c r="A1299" s="22">
        <v>42695</v>
      </c>
      <c r="B1299">
        <v>1.0627</v>
      </c>
    </row>
    <row r="1300" spans="1:2" x14ac:dyDescent="0.15">
      <c r="A1300" s="22">
        <v>42696</v>
      </c>
      <c r="B1300">
        <v>1.0624</v>
      </c>
    </row>
    <row r="1301" spans="1:2" x14ac:dyDescent="0.15">
      <c r="A1301" s="22">
        <v>42697</v>
      </c>
      <c r="B1301">
        <v>1.0556000000000001</v>
      </c>
    </row>
    <row r="1302" spans="1:2" x14ac:dyDescent="0.15">
      <c r="A1302" s="22">
        <v>42698</v>
      </c>
      <c r="B1302">
        <v>1.0551999999999999</v>
      </c>
    </row>
    <row r="1303" spans="1:2" x14ac:dyDescent="0.15">
      <c r="A1303" s="22">
        <v>42699</v>
      </c>
      <c r="B1303">
        <v>1.0584</v>
      </c>
    </row>
    <row r="1304" spans="1:2" x14ac:dyDescent="0.15">
      <c r="A1304" s="22">
        <v>42702</v>
      </c>
      <c r="B1304">
        <v>1.0612999999999999</v>
      </c>
    </row>
    <row r="1305" spans="1:2" x14ac:dyDescent="0.15">
      <c r="A1305" s="22">
        <v>42703</v>
      </c>
      <c r="B1305">
        <v>1.0647</v>
      </c>
    </row>
    <row r="1306" spans="1:2" x14ac:dyDescent="0.15">
      <c r="A1306" s="22">
        <v>42704</v>
      </c>
      <c r="B1306">
        <v>1.0585</v>
      </c>
    </row>
    <row r="1307" spans="1:2" x14ac:dyDescent="0.15">
      <c r="A1307" s="22">
        <v>42705</v>
      </c>
      <c r="B1307">
        <v>1.0660000000000001</v>
      </c>
    </row>
    <row r="1308" spans="1:2" x14ac:dyDescent="0.15">
      <c r="A1308" s="22">
        <v>42706</v>
      </c>
      <c r="B1308">
        <v>1.0669999999999999</v>
      </c>
    </row>
    <row r="1309" spans="1:2" x14ac:dyDescent="0.15">
      <c r="A1309" s="22">
        <v>42709</v>
      </c>
      <c r="B1309">
        <v>1.0762</v>
      </c>
    </row>
    <row r="1310" spans="1:2" x14ac:dyDescent="0.15">
      <c r="A1310" s="22">
        <v>42710</v>
      </c>
      <c r="B1310">
        <v>1.0717000000000001</v>
      </c>
    </row>
    <row r="1311" spans="1:2" x14ac:dyDescent="0.15">
      <c r="A1311" s="22">
        <v>42711</v>
      </c>
      <c r="B1311">
        <v>1.0750999999999999</v>
      </c>
    </row>
    <row r="1312" spans="1:2" x14ac:dyDescent="0.15">
      <c r="A1312" s="22">
        <v>42712</v>
      </c>
      <c r="B1312">
        <v>1.0615000000000001</v>
      </c>
    </row>
    <row r="1313" spans="1:2" x14ac:dyDescent="0.15">
      <c r="A1313" s="22">
        <v>42713</v>
      </c>
      <c r="B1313">
        <v>1.0559000000000001</v>
      </c>
    </row>
    <row r="1314" spans="1:2" x14ac:dyDescent="0.15">
      <c r="A1314" s="22">
        <v>42716</v>
      </c>
      <c r="B1314">
        <v>1.0633999999999999</v>
      </c>
    </row>
    <row r="1315" spans="1:2" x14ac:dyDescent="0.15">
      <c r="A1315" s="22">
        <v>42717</v>
      </c>
      <c r="B1315">
        <v>1.0625</v>
      </c>
    </row>
    <row r="1316" spans="1:2" x14ac:dyDescent="0.15">
      <c r="A1316" s="22">
        <v>42718</v>
      </c>
      <c r="B1316">
        <v>1.0535000000000001</v>
      </c>
    </row>
    <row r="1317" spans="1:2" x14ac:dyDescent="0.15">
      <c r="A1317" s="22">
        <v>42719</v>
      </c>
      <c r="B1317">
        <v>1.0411999999999999</v>
      </c>
    </row>
    <row r="1318" spans="1:2" x14ac:dyDescent="0.15">
      <c r="A1318" s="22">
        <v>42720</v>
      </c>
      <c r="B1318">
        <v>1.0447</v>
      </c>
    </row>
    <row r="1319" spans="1:2" x14ac:dyDescent="0.15">
      <c r="A1319" s="22">
        <v>42723</v>
      </c>
      <c r="B1319">
        <v>1.0402</v>
      </c>
    </row>
    <row r="1320" spans="1:2" x14ac:dyDescent="0.15">
      <c r="A1320" s="22">
        <v>42724</v>
      </c>
      <c r="B1320">
        <v>1.0385</v>
      </c>
    </row>
    <row r="1321" spans="1:2" x14ac:dyDescent="0.15">
      <c r="A1321" s="22">
        <v>42725</v>
      </c>
      <c r="B1321">
        <v>1.0423</v>
      </c>
    </row>
    <row r="1322" spans="1:2" x14ac:dyDescent="0.15">
      <c r="A1322" s="22">
        <v>42726</v>
      </c>
      <c r="B1322">
        <v>1.0435000000000001</v>
      </c>
    </row>
    <row r="1323" spans="1:2" x14ac:dyDescent="0.15">
      <c r="A1323" s="22">
        <v>42727</v>
      </c>
      <c r="B1323">
        <v>1.0454000000000001</v>
      </c>
    </row>
    <row r="1324" spans="1:2" x14ac:dyDescent="0.15">
      <c r="A1324" s="22">
        <v>42730</v>
      </c>
      <c r="B1324">
        <v>1.0452999999999999</v>
      </c>
    </row>
    <row r="1325" spans="1:2" x14ac:dyDescent="0.15">
      <c r="A1325" s="22">
        <v>42731</v>
      </c>
      <c r="B1325">
        <v>1.0455000000000001</v>
      </c>
    </row>
    <row r="1326" spans="1:2" x14ac:dyDescent="0.15">
      <c r="A1326" s="22">
        <v>42732</v>
      </c>
      <c r="B1326">
        <v>1.0407</v>
      </c>
    </row>
    <row r="1327" spans="1:2" x14ac:dyDescent="0.15">
      <c r="A1327" s="22">
        <v>42733</v>
      </c>
      <c r="B1327">
        <v>1.0489999999999999</v>
      </c>
    </row>
    <row r="1328" spans="1:2" x14ac:dyDescent="0.15">
      <c r="A1328" s="22">
        <v>42734</v>
      </c>
      <c r="B1328">
        <v>1.0512999999999999</v>
      </c>
    </row>
    <row r="1329" spans="1:2" x14ac:dyDescent="0.15">
      <c r="A1329" s="22">
        <v>42737</v>
      </c>
      <c r="B1329">
        <v>1.0457000000000001</v>
      </c>
    </row>
    <row r="1330" spans="1:2" x14ac:dyDescent="0.15">
      <c r="A1330" s="22">
        <v>42738</v>
      </c>
      <c r="B1330">
        <v>1.0404</v>
      </c>
    </row>
    <row r="1331" spans="1:2" x14ac:dyDescent="0.15">
      <c r="A1331" s="22">
        <v>42739</v>
      </c>
      <c r="B1331">
        <v>1.0486</v>
      </c>
    </row>
    <row r="1332" spans="1:2" x14ac:dyDescent="0.15">
      <c r="A1332" s="22">
        <v>42740</v>
      </c>
      <c r="B1332">
        <v>1.0603</v>
      </c>
    </row>
    <row r="1333" spans="1:2" x14ac:dyDescent="0.15">
      <c r="A1333" s="22">
        <v>42741</v>
      </c>
      <c r="B1333">
        <v>1.0529999999999999</v>
      </c>
    </row>
    <row r="1334" spans="1:2" x14ac:dyDescent="0.15">
      <c r="A1334" s="22">
        <v>42744</v>
      </c>
      <c r="B1334">
        <v>1.0571999999999999</v>
      </c>
    </row>
    <row r="1335" spans="1:2" x14ac:dyDescent="0.15">
      <c r="A1335" s="22">
        <v>42745</v>
      </c>
      <c r="B1335">
        <v>1.0552999999999999</v>
      </c>
    </row>
    <row r="1336" spans="1:2" x14ac:dyDescent="0.15">
      <c r="A1336" s="22">
        <v>42746</v>
      </c>
      <c r="B1336">
        <v>1.0580000000000001</v>
      </c>
    </row>
    <row r="1337" spans="1:2" x14ac:dyDescent="0.15">
      <c r="A1337" s="22">
        <v>42747</v>
      </c>
      <c r="B1337">
        <v>1.0609999999999999</v>
      </c>
    </row>
    <row r="1338" spans="1:2" x14ac:dyDescent="0.15">
      <c r="A1338" s="22">
        <v>42748</v>
      </c>
      <c r="B1338">
        <v>1.0641</v>
      </c>
    </row>
    <row r="1339" spans="1:2" x14ac:dyDescent="0.15">
      <c r="A1339" s="22">
        <v>42751</v>
      </c>
      <c r="B1339">
        <v>1.06</v>
      </c>
    </row>
    <row r="1340" spans="1:2" x14ac:dyDescent="0.15">
      <c r="A1340" s="22">
        <v>42752</v>
      </c>
      <c r="B1340">
        <v>1.0711999999999999</v>
      </c>
    </row>
    <row r="1341" spans="1:2" x14ac:dyDescent="0.15">
      <c r="A1341" s="22">
        <v>42753</v>
      </c>
      <c r="B1341">
        <v>1.0629999999999999</v>
      </c>
    </row>
    <row r="1342" spans="1:2" x14ac:dyDescent="0.15">
      <c r="A1342" s="22">
        <v>42754</v>
      </c>
      <c r="B1342">
        <v>1.0663</v>
      </c>
    </row>
    <row r="1343" spans="1:2" x14ac:dyDescent="0.15">
      <c r="A1343" s="22">
        <v>42755</v>
      </c>
      <c r="B1343">
        <v>1.0699000000000001</v>
      </c>
    </row>
    <row r="1344" spans="1:2" x14ac:dyDescent="0.15">
      <c r="A1344" s="22">
        <v>42758</v>
      </c>
      <c r="B1344">
        <v>1.0761000000000001</v>
      </c>
    </row>
    <row r="1345" spans="1:2" x14ac:dyDescent="0.15">
      <c r="A1345" s="22">
        <v>42759</v>
      </c>
      <c r="B1345">
        <v>1.073</v>
      </c>
    </row>
    <row r="1346" spans="1:2" x14ac:dyDescent="0.15">
      <c r="A1346" s="22">
        <v>42760</v>
      </c>
      <c r="B1346">
        <v>1.0744</v>
      </c>
    </row>
    <row r="1347" spans="1:2" x14ac:dyDescent="0.15">
      <c r="A1347" s="22">
        <v>42761</v>
      </c>
      <c r="B1347">
        <v>1.0680000000000001</v>
      </c>
    </row>
    <row r="1348" spans="1:2" x14ac:dyDescent="0.15">
      <c r="A1348" s="22">
        <v>42762</v>
      </c>
      <c r="B1348">
        <v>1.0693999999999999</v>
      </c>
    </row>
    <row r="1349" spans="1:2" x14ac:dyDescent="0.15">
      <c r="A1349" s="22">
        <v>42765</v>
      </c>
      <c r="B1349">
        <v>1.0691999999999999</v>
      </c>
    </row>
    <row r="1350" spans="1:2" x14ac:dyDescent="0.15">
      <c r="A1350" s="22">
        <v>42766</v>
      </c>
      <c r="B1350">
        <v>1.0794999999999999</v>
      </c>
    </row>
    <row r="1351" spans="1:2" x14ac:dyDescent="0.15">
      <c r="A1351" s="22">
        <v>42767</v>
      </c>
      <c r="B1351">
        <v>1.0767</v>
      </c>
    </row>
    <row r="1352" spans="1:2" x14ac:dyDescent="0.15">
      <c r="A1352" s="22">
        <v>42768</v>
      </c>
      <c r="B1352">
        <v>1.0758000000000001</v>
      </c>
    </row>
    <row r="1353" spans="1:2" x14ac:dyDescent="0.15">
      <c r="A1353" s="22">
        <v>42769</v>
      </c>
      <c r="B1353">
        <v>1.0781000000000001</v>
      </c>
    </row>
    <row r="1354" spans="1:2" x14ac:dyDescent="0.15">
      <c r="A1354" s="22">
        <v>42772</v>
      </c>
      <c r="B1354">
        <v>1.0749</v>
      </c>
    </row>
    <row r="1355" spans="1:2" x14ac:dyDescent="0.15">
      <c r="A1355" s="22">
        <v>42773</v>
      </c>
      <c r="B1355">
        <v>1.0680000000000001</v>
      </c>
    </row>
    <row r="1356" spans="1:2" x14ac:dyDescent="0.15">
      <c r="A1356" s="22">
        <v>42774</v>
      </c>
      <c r="B1356">
        <v>1.0697000000000001</v>
      </c>
    </row>
    <row r="1357" spans="1:2" x14ac:dyDescent="0.15">
      <c r="A1357" s="22">
        <v>42775</v>
      </c>
      <c r="B1357">
        <v>1.0653999999999999</v>
      </c>
    </row>
    <row r="1358" spans="1:2" x14ac:dyDescent="0.15">
      <c r="A1358" s="22">
        <v>42776</v>
      </c>
      <c r="B1358">
        <v>1.0638000000000001</v>
      </c>
    </row>
    <row r="1359" spans="1:2" x14ac:dyDescent="0.15">
      <c r="A1359" s="22">
        <v>42779</v>
      </c>
      <c r="B1359">
        <v>1.0597000000000001</v>
      </c>
    </row>
    <row r="1360" spans="1:2" x14ac:dyDescent="0.15">
      <c r="A1360" s="22">
        <v>42780</v>
      </c>
      <c r="B1360">
        <v>1.0577000000000001</v>
      </c>
    </row>
    <row r="1361" spans="1:2" x14ac:dyDescent="0.15">
      <c r="A1361" s="22">
        <v>42781</v>
      </c>
      <c r="B1361">
        <v>1.0598000000000001</v>
      </c>
    </row>
    <row r="1362" spans="1:2" x14ac:dyDescent="0.15">
      <c r="A1362" s="22">
        <v>42782</v>
      </c>
      <c r="B1362">
        <v>1.0671999999999999</v>
      </c>
    </row>
    <row r="1363" spans="1:2" x14ac:dyDescent="0.15">
      <c r="A1363" s="22">
        <v>42783</v>
      </c>
      <c r="B1363">
        <v>1.0610999999999999</v>
      </c>
    </row>
    <row r="1364" spans="1:2" x14ac:dyDescent="0.15">
      <c r="A1364" s="22">
        <v>42786</v>
      </c>
      <c r="B1364">
        <v>1.0609</v>
      </c>
    </row>
    <row r="1365" spans="1:2" x14ac:dyDescent="0.15">
      <c r="A1365" s="22">
        <v>42787</v>
      </c>
      <c r="B1365">
        <v>1.0535000000000001</v>
      </c>
    </row>
    <row r="1366" spans="1:2" x14ac:dyDescent="0.15">
      <c r="A1366" s="22">
        <v>42788</v>
      </c>
      <c r="B1366">
        <v>1.0555000000000001</v>
      </c>
    </row>
    <row r="1367" spans="1:2" x14ac:dyDescent="0.15">
      <c r="A1367" s="22">
        <v>42789</v>
      </c>
      <c r="B1367">
        <v>1.0579000000000001</v>
      </c>
    </row>
    <row r="1368" spans="1:2" x14ac:dyDescent="0.15">
      <c r="A1368" s="22">
        <v>42790</v>
      </c>
      <c r="B1368">
        <v>1.056</v>
      </c>
    </row>
    <row r="1369" spans="1:2" x14ac:dyDescent="0.15">
      <c r="A1369" s="22">
        <v>42793</v>
      </c>
      <c r="B1369">
        <v>1.0585</v>
      </c>
    </row>
    <row r="1370" spans="1:2" x14ac:dyDescent="0.15">
      <c r="A1370" s="22">
        <v>42794</v>
      </c>
      <c r="B1370">
        <v>1.0575000000000001</v>
      </c>
    </row>
    <row r="1371" spans="1:2" x14ac:dyDescent="0.15">
      <c r="A1371" s="22">
        <v>42795</v>
      </c>
      <c r="B1371">
        <v>1.0546</v>
      </c>
    </row>
    <row r="1372" spans="1:2" x14ac:dyDescent="0.15">
      <c r="A1372" s="22">
        <v>42796</v>
      </c>
      <c r="B1372">
        <v>1.0506</v>
      </c>
    </row>
    <row r="1373" spans="1:2" x14ac:dyDescent="0.15">
      <c r="A1373" s="22">
        <v>42797</v>
      </c>
      <c r="B1373">
        <v>1.0620000000000001</v>
      </c>
    </row>
    <row r="1374" spans="1:2" x14ac:dyDescent="0.15">
      <c r="A1374" s="22">
        <v>42800</v>
      </c>
      <c r="B1374">
        <v>1.0578000000000001</v>
      </c>
    </row>
    <row r="1375" spans="1:2" x14ac:dyDescent="0.15">
      <c r="A1375" s="22">
        <v>42801</v>
      </c>
      <c r="B1375">
        <v>1.0565</v>
      </c>
    </row>
    <row r="1376" spans="1:2" x14ac:dyDescent="0.15">
      <c r="A1376" s="22">
        <v>42802</v>
      </c>
      <c r="B1376">
        <v>1.0539000000000001</v>
      </c>
    </row>
    <row r="1377" spans="1:2" x14ac:dyDescent="0.15">
      <c r="A1377" s="22">
        <v>42803</v>
      </c>
      <c r="B1377">
        <v>1.0575000000000001</v>
      </c>
    </row>
    <row r="1378" spans="1:2" x14ac:dyDescent="0.15">
      <c r="A1378" s="22">
        <v>42804</v>
      </c>
      <c r="B1378">
        <v>1.0669</v>
      </c>
    </row>
    <row r="1379" spans="1:2" x14ac:dyDescent="0.15">
      <c r="A1379" s="22">
        <v>42807</v>
      </c>
      <c r="B1379">
        <v>1.0652999999999999</v>
      </c>
    </row>
    <row r="1380" spans="1:2" x14ac:dyDescent="0.15">
      <c r="A1380" s="22">
        <v>42808</v>
      </c>
      <c r="B1380">
        <v>1.0602</v>
      </c>
    </row>
    <row r="1381" spans="1:2" x14ac:dyDescent="0.15">
      <c r="A1381" s="22">
        <v>42809</v>
      </c>
      <c r="B1381">
        <v>1.0731999999999999</v>
      </c>
    </row>
    <row r="1382" spans="1:2" x14ac:dyDescent="0.15">
      <c r="A1382" s="22">
        <v>42810</v>
      </c>
      <c r="B1382">
        <v>1.0764</v>
      </c>
    </row>
    <row r="1383" spans="1:2" x14ac:dyDescent="0.15">
      <c r="A1383" s="22">
        <v>42811</v>
      </c>
      <c r="B1383">
        <v>1.0736000000000001</v>
      </c>
    </row>
    <row r="1384" spans="1:2" x14ac:dyDescent="0.15">
      <c r="A1384" s="22">
        <v>42814</v>
      </c>
      <c r="B1384">
        <v>1.0737000000000001</v>
      </c>
    </row>
    <row r="1385" spans="1:2" x14ac:dyDescent="0.15">
      <c r="A1385" s="22">
        <v>42815</v>
      </c>
      <c r="B1385">
        <v>1.0808</v>
      </c>
    </row>
    <row r="1386" spans="1:2" x14ac:dyDescent="0.15">
      <c r="A1386" s="22">
        <v>42816</v>
      </c>
      <c r="B1386">
        <v>1.0794999999999999</v>
      </c>
    </row>
    <row r="1387" spans="1:2" x14ac:dyDescent="0.15">
      <c r="A1387" s="22">
        <v>42817</v>
      </c>
      <c r="B1387">
        <v>1.0780000000000001</v>
      </c>
    </row>
    <row r="1388" spans="1:2" x14ac:dyDescent="0.15">
      <c r="A1388" s="22">
        <v>42818</v>
      </c>
      <c r="B1388">
        <v>1.0797000000000001</v>
      </c>
    </row>
    <row r="1389" spans="1:2" x14ac:dyDescent="0.15">
      <c r="A1389" s="22">
        <v>42821</v>
      </c>
      <c r="B1389">
        <v>1.0864</v>
      </c>
    </row>
    <row r="1390" spans="1:2" x14ac:dyDescent="0.15">
      <c r="A1390" s="22">
        <v>42822</v>
      </c>
      <c r="B1390">
        <v>1.0811999999999999</v>
      </c>
    </row>
    <row r="1391" spans="1:2" x14ac:dyDescent="0.15">
      <c r="A1391" s="22">
        <v>42823</v>
      </c>
      <c r="B1391">
        <v>1.0766</v>
      </c>
    </row>
    <row r="1392" spans="1:2" x14ac:dyDescent="0.15">
      <c r="A1392" s="22">
        <v>42824</v>
      </c>
      <c r="B1392">
        <v>1.0673999999999999</v>
      </c>
    </row>
    <row r="1393" spans="1:2" x14ac:dyDescent="0.15">
      <c r="A1393" s="22">
        <v>42825</v>
      </c>
      <c r="B1393">
        <v>1.0649</v>
      </c>
    </row>
    <row r="1394" spans="1:2" x14ac:dyDescent="0.15">
      <c r="A1394" s="22">
        <v>42828</v>
      </c>
      <c r="B1394">
        <v>1.0668</v>
      </c>
    </row>
    <row r="1395" spans="1:2" x14ac:dyDescent="0.15">
      <c r="A1395" s="22">
        <v>42829</v>
      </c>
      <c r="B1395">
        <v>1.0671999999999999</v>
      </c>
    </row>
    <row r="1396" spans="1:2" x14ac:dyDescent="0.15">
      <c r="A1396" s="22">
        <v>42830</v>
      </c>
      <c r="B1396">
        <v>1.0662</v>
      </c>
    </row>
    <row r="1397" spans="1:2" x14ac:dyDescent="0.15">
      <c r="A1397" s="22">
        <v>42831</v>
      </c>
      <c r="B1397">
        <v>1.0642</v>
      </c>
    </row>
    <row r="1398" spans="1:2" x14ac:dyDescent="0.15">
      <c r="A1398" s="22">
        <v>42832</v>
      </c>
      <c r="B1398">
        <v>1.0588</v>
      </c>
    </row>
    <row r="1399" spans="1:2" x14ac:dyDescent="0.15">
      <c r="A1399" s="22">
        <v>42835</v>
      </c>
      <c r="B1399">
        <v>1.0592999999999999</v>
      </c>
    </row>
    <row r="1400" spans="1:2" x14ac:dyDescent="0.15">
      <c r="A1400" s="22">
        <v>42836</v>
      </c>
      <c r="B1400">
        <v>1.0602</v>
      </c>
    </row>
    <row r="1401" spans="1:2" x14ac:dyDescent="0.15">
      <c r="A1401" s="22">
        <v>42837</v>
      </c>
      <c r="B1401">
        <v>1.0664</v>
      </c>
    </row>
    <row r="1402" spans="1:2" x14ac:dyDescent="0.15">
      <c r="A1402" s="22">
        <v>42838</v>
      </c>
      <c r="B1402">
        <v>1.0611999999999999</v>
      </c>
    </row>
    <row r="1403" spans="1:2" x14ac:dyDescent="0.15">
      <c r="A1403" s="22">
        <v>42839</v>
      </c>
      <c r="B1403">
        <v>1.0609</v>
      </c>
    </row>
    <row r="1404" spans="1:2" x14ac:dyDescent="0.15">
      <c r="A1404" s="22">
        <v>42842</v>
      </c>
      <c r="B1404">
        <v>1.0640000000000001</v>
      </c>
    </row>
    <row r="1405" spans="1:2" x14ac:dyDescent="0.15">
      <c r="A1405" s="22">
        <v>42843</v>
      </c>
      <c r="B1405">
        <v>1.0731999999999999</v>
      </c>
    </row>
    <row r="1406" spans="1:2" x14ac:dyDescent="0.15">
      <c r="A1406" s="22">
        <v>42844</v>
      </c>
      <c r="B1406">
        <v>1.0709</v>
      </c>
    </row>
    <row r="1407" spans="1:2" x14ac:dyDescent="0.15">
      <c r="A1407" s="22">
        <v>42845</v>
      </c>
      <c r="B1407">
        <v>1.0713999999999999</v>
      </c>
    </row>
    <row r="1408" spans="1:2" x14ac:dyDescent="0.15">
      <c r="A1408" s="22">
        <v>42846</v>
      </c>
      <c r="B1408">
        <v>1.0726</v>
      </c>
    </row>
    <row r="1409" spans="1:2" x14ac:dyDescent="0.15">
      <c r="A1409" s="22">
        <v>42849</v>
      </c>
      <c r="B1409">
        <v>1.0867</v>
      </c>
    </row>
    <row r="1410" spans="1:2" x14ac:dyDescent="0.15">
      <c r="A1410" s="22">
        <v>42850</v>
      </c>
      <c r="B1410">
        <v>1.0925</v>
      </c>
    </row>
    <row r="1411" spans="1:2" x14ac:dyDescent="0.15">
      <c r="A1411" s="22">
        <v>42851</v>
      </c>
      <c r="B1411">
        <v>1.0903</v>
      </c>
    </row>
    <row r="1412" spans="1:2" x14ac:dyDescent="0.15">
      <c r="A1412" s="22">
        <v>42852</v>
      </c>
      <c r="B1412">
        <v>1.0871999999999999</v>
      </c>
    </row>
    <row r="1413" spans="1:2" x14ac:dyDescent="0.15">
      <c r="A1413" s="22">
        <v>42853</v>
      </c>
      <c r="B1413">
        <v>1.0894999999999999</v>
      </c>
    </row>
    <row r="1414" spans="1:2" x14ac:dyDescent="0.15">
      <c r="A1414" s="22">
        <v>42856</v>
      </c>
      <c r="B1414">
        <v>1.0898000000000001</v>
      </c>
    </row>
    <row r="1415" spans="1:2" x14ac:dyDescent="0.15">
      <c r="A1415" s="22">
        <v>42857</v>
      </c>
      <c r="B1415">
        <v>1.0927</v>
      </c>
    </row>
    <row r="1416" spans="1:2" x14ac:dyDescent="0.15">
      <c r="A1416" s="22">
        <v>42858</v>
      </c>
      <c r="B1416">
        <v>1.0882000000000001</v>
      </c>
    </row>
    <row r="1417" spans="1:2" x14ac:dyDescent="0.15">
      <c r="A1417" s="22">
        <v>42859</v>
      </c>
      <c r="B1417">
        <v>1.0984</v>
      </c>
    </row>
    <row r="1418" spans="1:2" x14ac:dyDescent="0.15">
      <c r="A1418" s="22">
        <v>42860</v>
      </c>
      <c r="B1418">
        <v>1.0994999999999999</v>
      </c>
    </row>
    <row r="1419" spans="1:2" x14ac:dyDescent="0.15">
      <c r="A1419" s="22">
        <v>42863</v>
      </c>
      <c r="B1419">
        <v>1.0922000000000001</v>
      </c>
    </row>
    <row r="1420" spans="1:2" x14ac:dyDescent="0.15">
      <c r="A1420" s="22">
        <v>42864</v>
      </c>
      <c r="B1420">
        <v>1.0871999999999999</v>
      </c>
    </row>
    <row r="1421" spans="1:2" x14ac:dyDescent="0.15">
      <c r="A1421" s="22">
        <v>42865</v>
      </c>
      <c r="B1421">
        <v>1.0866</v>
      </c>
    </row>
    <row r="1422" spans="1:2" x14ac:dyDescent="0.15">
      <c r="A1422" s="22">
        <v>42866</v>
      </c>
      <c r="B1422">
        <v>1.0861000000000001</v>
      </c>
    </row>
    <row r="1423" spans="1:2" x14ac:dyDescent="0.15">
      <c r="A1423" s="22">
        <v>42867</v>
      </c>
      <c r="B1423">
        <v>1.0928</v>
      </c>
    </row>
    <row r="1424" spans="1:2" x14ac:dyDescent="0.15">
      <c r="A1424" s="22">
        <v>42870</v>
      </c>
      <c r="B1424">
        <v>1.0972999999999999</v>
      </c>
    </row>
    <row r="1425" spans="1:2" x14ac:dyDescent="0.15">
      <c r="A1425" s="22">
        <v>42871</v>
      </c>
      <c r="B1425">
        <v>1.1082000000000001</v>
      </c>
    </row>
    <row r="1426" spans="1:2" x14ac:dyDescent="0.15">
      <c r="A1426" s="22">
        <v>42872</v>
      </c>
      <c r="B1426">
        <v>1.1157999999999999</v>
      </c>
    </row>
    <row r="1427" spans="1:2" x14ac:dyDescent="0.15">
      <c r="A1427" s="22">
        <v>42873</v>
      </c>
      <c r="B1427">
        <v>1.1101000000000001</v>
      </c>
    </row>
    <row r="1428" spans="1:2" x14ac:dyDescent="0.15">
      <c r="A1428" s="22">
        <v>42874</v>
      </c>
      <c r="B1428">
        <v>1.1204000000000001</v>
      </c>
    </row>
    <row r="1429" spans="1:2" x14ac:dyDescent="0.15">
      <c r="A1429" s="22">
        <v>42877</v>
      </c>
      <c r="B1429">
        <v>1.1235999999999999</v>
      </c>
    </row>
    <row r="1430" spans="1:2" x14ac:dyDescent="0.15">
      <c r="A1430" s="22">
        <v>42878</v>
      </c>
      <c r="B1430">
        <v>1.1182000000000001</v>
      </c>
    </row>
    <row r="1431" spans="1:2" x14ac:dyDescent="0.15">
      <c r="A1431" s="22">
        <v>42879</v>
      </c>
      <c r="B1431">
        <v>1.1216999999999999</v>
      </c>
    </row>
    <row r="1432" spans="1:2" x14ac:dyDescent="0.15">
      <c r="A1432" s="22">
        <v>42880</v>
      </c>
      <c r="B1432">
        <v>1.1209</v>
      </c>
    </row>
    <row r="1433" spans="1:2" x14ac:dyDescent="0.15">
      <c r="A1433" s="22">
        <v>42881</v>
      </c>
      <c r="B1433">
        <v>1.1182000000000001</v>
      </c>
    </row>
    <row r="1434" spans="1:2" x14ac:dyDescent="0.15">
      <c r="A1434" s="22">
        <v>42884</v>
      </c>
      <c r="B1434">
        <v>1.1164000000000001</v>
      </c>
    </row>
    <row r="1435" spans="1:2" x14ac:dyDescent="0.15">
      <c r="A1435" s="22">
        <v>42885</v>
      </c>
      <c r="B1435">
        <v>1.1183000000000001</v>
      </c>
    </row>
    <row r="1436" spans="1:2" x14ac:dyDescent="0.15">
      <c r="A1436" s="22">
        <v>42886</v>
      </c>
      <c r="B1436">
        <v>1.1241000000000001</v>
      </c>
    </row>
    <row r="1437" spans="1:2" x14ac:dyDescent="0.15">
      <c r="A1437" s="22">
        <v>42887</v>
      </c>
      <c r="B1437">
        <v>1.1211</v>
      </c>
    </row>
    <row r="1438" spans="1:2" x14ac:dyDescent="0.15">
      <c r="A1438" s="22">
        <v>42888</v>
      </c>
      <c r="B1438">
        <v>1.1279999999999999</v>
      </c>
    </row>
    <row r="1439" spans="1:2" x14ac:dyDescent="0.15">
      <c r="A1439" s="22">
        <v>42891</v>
      </c>
      <c r="B1439">
        <v>1.1252</v>
      </c>
    </row>
    <row r="1440" spans="1:2" x14ac:dyDescent="0.15">
      <c r="A1440" s="22">
        <v>42892</v>
      </c>
      <c r="B1440">
        <v>1.1274999999999999</v>
      </c>
    </row>
    <row r="1441" spans="1:2" x14ac:dyDescent="0.15">
      <c r="A1441" s="22">
        <v>42893</v>
      </c>
      <c r="B1441">
        <v>1.1254999999999999</v>
      </c>
    </row>
    <row r="1442" spans="1:2" x14ac:dyDescent="0.15">
      <c r="A1442" s="22">
        <v>42894</v>
      </c>
      <c r="B1442">
        <v>1.1212</v>
      </c>
    </row>
    <row r="1443" spans="1:2" x14ac:dyDescent="0.15">
      <c r="A1443" s="22">
        <v>42895</v>
      </c>
      <c r="B1443">
        <v>1.1192</v>
      </c>
    </row>
    <row r="1444" spans="1:2" x14ac:dyDescent="0.15">
      <c r="A1444" s="22">
        <v>42898</v>
      </c>
      <c r="B1444">
        <v>1.1200000000000001</v>
      </c>
    </row>
    <row r="1445" spans="1:2" x14ac:dyDescent="0.15">
      <c r="A1445" s="22">
        <v>42899</v>
      </c>
      <c r="B1445">
        <v>1.1214</v>
      </c>
    </row>
    <row r="1446" spans="1:2" x14ac:dyDescent="0.15">
      <c r="A1446" s="22">
        <v>42900</v>
      </c>
      <c r="B1446">
        <v>1.1216999999999999</v>
      </c>
    </row>
    <row r="1447" spans="1:2" x14ac:dyDescent="0.15">
      <c r="A1447" s="22">
        <v>42901</v>
      </c>
      <c r="B1447">
        <v>1.1143000000000001</v>
      </c>
    </row>
    <row r="1448" spans="1:2" x14ac:dyDescent="0.15">
      <c r="A1448" s="22">
        <v>42902</v>
      </c>
      <c r="B1448">
        <v>1.1196999999999999</v>
      </c>
    </row>
    <row r="1449" spans="1:2" x14ac:dyDescent="0.15">
      <c r="A1449" s="22">
        <v>42905</v>
      </c>
      <c r="B1449">
        <v>1.1148</v>
      </c>
    </row>
    <row r="1450" spans="1:2" x14ac:dyDescent="0.15">
      <c r="A1450" s="22">
        <v>42906</v>
      </c>
      <c r="B1450">
        <v>1.1133999999999999</v>
      </c>
    </row>
    <row r="1451" spans="1:2" x14ac:dyDescent="0.15">
      <c r="A1451" s="22">
        <v>42907</v>
      </c>
      <c r="B1451">
        <v>1.1166</v>
      </c>
    </row>
    <row r="1452" spans="1:2" x14ac:dyDescent="0.15">
      <c r="A1452" s="22">
        <v>42908</v>
      </c>
      <c r="B1452">
        <v>1.115</v>
      </c>
    </row>
    <row r="1453" spans="1:2" x14ac:dyDescent="0.15">
      <c r="A1453" s="22">
        <v>42909</v>
      </c>
      <c r="B1453">
        <v>1.1192</v>
      </c>
    </row>
    <row r="1454" spans="1:2" x14ac:dyDescent="0.15">
      <c r="A1454" s="22">
        <v>42912</v>
      </c>
      <c r="B1454">
        <v>1.1178999999999999</v>
      </c>
    </row>
    <row r="1455" spans="1:2" x14ac:dyDescent="0.15">
      <c r="A1455" s="22">
        <v>42913</v>
      </c>
      <c r="B1455">
        <v>1.1336999999999999</v>
      </c>
    </row>
    <row r="1456" spans="1:2" x14ac:dyDescent="0.15">
      <c r="A1456" s="22">
        <v>42914</v>
      </c>
      <c r="B1456">
        <v>1.1375999999999999</v>
      </c>
    </row>
    <row r="1457" spans="1:2" x14ac:dyDescent="0.15">
      <c r="A1457" s="22">
        <v>42915</v>
      </c>
      <c r="B1457">
        <v>1.1439999999999999</v>
      </c>
    </row>
    <row r="1458" spans="1:2" x14ac:dyDescent="0.15">
      <c r="A1458" s="22">
        <v>42916</v>
      </c>
      <c r="B1458">
        <v>1.1423000000000001</v>
      </c>
    </row>
    <row r="1459" spans="1:2" x14ac:dyDescent="0.15">
      <c r="A1459" s="22">
        <v>42919</v>
      </c>
      <c r="B1459">
        <v>1.1359999999999999</v>
      </c>
    </row>
    <row r="1460" spans="1:2" x14ac:dyDescent="0.15">
      <c r="A1460" s="22">
        <v>42920</v>
      </c>
      <c r="B1460">
        <v>1.1342000000000001</v>
      </c>
    </row>
    <row r="1461" spans="1:2" x14ac:dyDescent="0.15">
      <c r="A1461" s="22">
        <v>42921</v>
      </c>
      <c r="B1461">
        <v>1.1352</v>
      </c>
    </row>
    <row r="1462" spans="1:2" x14ac:dyDescent="0.15">
      <c r="A1462" s="22">
        <v>42922</v>
      </c>
      <c r="B1462">
        <v>1.1422000000000001</v>
      </c>
    </row>
    <row r="1463" spans="1:2" x14ac:dyDescent="0.15">
      <c r="A1463" s="22">
        <v>42923</v>
      </c>
      <c r="B1463">
        <v>1.1399999999999999</v>
      </c>
    </row>
    <row r="1464" spans="1:2" x14ac:dyDescent="0.15">
      <c r="A1464" s="22">
        <v>42926</v>
      </c>
      <c r="B1464">
        <v>1.1398999999999999</v>
      </c>
    </row>
    <row r="1465" spans="1:2" x14ac:dyDescent="0.15">
      <c r="A1465" s="22">
        <v>42927</v>
      </c>
      <c r="B1465">
        <v>1.1465000000000001</v>
      </c>
    </row>
    <row r="1466" spans="1:2" x14ac:dyDescent="0.15">
      <c r="A1466" s="22">
        <v>42928</v>
      </c>
      <c r="B1466">
        <v>1.141</v>
      </c>
    </row>
    <row r="1467" spans="1:2" x14ac:dyDescent="0.15">
      <c r="A1467" s="22">
        <v>42929</v>
      </c>
      <c r="B1467">
        <v>1.1395</v>
      </c>
    </row>
    <row r="1468" spans="1:2" x14ac:dyDescent="0.15">
      <c r="A1468" s="22">
        <v>42930</v>
      </c>
      <c r="B1468">
        <v>1.1467000000000001</v>
      </c>
    </row>
    <row r="1469" spans="1:2" x14ac:dyDescent="0.15">
      <c r="A1469" s="22">
        <v>42933</v>
      </c>
      <c r="B1469">
        <v>1.1477999999999999</v>
      </c>
    </row>
    <row r="1470" spans="1:2" x14ac:dyDescent="0.15">
      <c r="A1470" s="22">
        <v>42934</v>
      </c>
      <c r="B1470">
        <v>1.1552</v>
      </c>
    </row>
    <row r="1471" spans="1:2" x14ac:dyDescent="0.15">
      <c r="A1471" s="22">
        <v>42935</v>
      </c>
      <c r="B1471">
        <v>1.1514</v>
      </c>
    </row>
    <row r="1472" spans="1:2" x14ac:dyDescent="0.15">
      <c r="A1472" s="22">
        <v>42936</v>
      </c>
      <c r="B1472">
        <v>1.1629</v>
      </c>
    </row>
    <row r="1473" spans="1:2" x14ac:dyDescent="0.15">
      <c r="A1473" s="22">
        <v>42937</v>
      </c>
      <c r="B1473">
        <v>1.1660999999999999</v>
      </c>
    </row>
    <row r="1474" spans="1:2" x14ac:dyDescent="0.15">
      <c r="A1474" s="22">
        <v>42940</v>
      </c>
      <c r="B1474">
        <v>1.1637999999999999</v>
      </c>
    </row>
    <row r="1475" spans="1:2" x14ac:dyDescent="0.15">
      <c r="A1475" s="22">
        <v>42941</v>
      </c>
      <c r="B1475">
        <v>1.1651</v>
      </c>
    </row>
    <row r="1476" spans="1:2" x14ac:dyDescent="0.15">
      <c r="A1476" s="22">
        <v>42942</v>
      </c>
      <c r="B1476">
        <v>1.1732</v>
      </c>
    </row>
    <row r="1477" spans="1:2" x14ac:dyDescent="0.15">
      <c r="A1477" s="22">
        <v>42943</v>
      </c>
      <c r="B1477">
        <v>1.1676</v>
      </c>
    </row>
    <row r="1478" spans="1:2" x14ac:dyDescent="0.15">
      <c r="A1478" s="22">
        <v>42944</v>
      </c>
      <c r="B1478">
        <v>1.175</v>
      </c>
    </row>
    <row r="1479" spans="1:2" x14ac:dyDescent="0.15">
      <c r="A1479" s="22">
        <v>42947</v>
      </c>
      <c r="B1479">
        <v>1.1839999999999999</v>
      </c>
    </row>
    <row r="1480" spans="1:2" x14ac:dyDescent="0.15">
      <c r="A1480" s="22">
        <v>42948</v>
      </c>
      <c r="B1480">
        <v>1.1800999999999999</v>
      </c>
    </row>
    <row r="1481" spans="1:2" x14ac:dyDescent="0.15">
      <c r="A1481" s="22">
        <v>42949</v>
      </c>
      <c r="B1481">
        <v>1.1854</v>
      </c>
    </row>
    <row r="1482" spans="1:2" x14ac:dyDescent="0.15">
      <c r="A1482" s="22">
        <v>42950</v>
      </c>
      <c r="B1482">
        <v>1.1868000000000001</v>
      </c>
    </row>
    <row r="1483" spans="1:2" x14ac:dyDescent="0.15">
      <c r="A1483" s="22">
        <v>42951</v>
      </c>
      <c r="B1483">
        <v>1.1768000000000001</v>
      </c>
    </row>
    <row r="1484" spans="1:2" x14ac:dyDescent="0.15">
      <c r="A1484" s="22">
        <v>42954</v>
      </c>
      <c r="B1484">
        <v>1.1793</v>
      </c>
    </row>
    <row r="1485" spans="1:2" x14ac:dyDescent="0.15">
      <c r="A1485" s="22">
        <v>42955</v>
      </c>
      <c r="B1485">
        <v>1.1749000000000001</v>
      </c>
    </row>
    <row r="1486" spans="1:2" x14ac:dyDescent="0.15">
      <c r="A1486" s="22">
        <v>42956</v>
      </c>
      <c r="B1486">
        <v>1.1757</v>
      </c>
    </row>
    <row r="1487" spans="1:2" x14ac:dyDescent="0.15">
      <c r="A1487" s="22">
        <v>42957</v>
      </c>
      <c r="B1487">
        <v>1.177</v>
      </c>
    </row>
    <row r="1488" spans="1:2" x14ac:dyDescent="0.15">
      <c r="A1488" s="22">
        <v>42958</v>
      </c>
      <c r="B1488">
        <v>1.1819999999999999</v>
      </c>
    </row>
    <row r="1489" spans="1:2" x14ac:dyDescent="0.15">
      <c r="A1489" s="22">
        <v>42961</v>
      </c>
      <c r="B1489">
        <v>1.1778</v>
      </c>
    </row>
    <row r="1490" spans="1:2" x14ac:dyDescent="0.15">
      <c r="A1490" s="22">
        <v>42962</v>
      </c>
      <c r="B1490">
        <v>1.1733</v>
      </c>
    </row>
    <row r="1491" spans="1:2" x14ac:dyDescent="0.15">
      <c r="A1491" s="22">
        <v>42963</v>
      </c>
      <c r="B1491">
        <v>1.1768000000000001</v>
      </c>
    </row>
    <row r="1492" spans="1:2" x14ac:dyDescent="0.15">
      <c r="A1492" s="22">
        <v>42964</v>
      </c>
      <c r="B1492">
        <v>1.1722999999999999</v>
      </c>
    </row>
    <row r="1493" spans="1:2" x14ac:dyDescent="0.15">
      <c r="A1493" s="22">
        <v>42965</v>
      </c>
      <c r="B1493">
        <v>1.1759999999999999</v>
      </c>
    </row>
    <row r="1494" spans="1:2" x14ac:dyDescent="0.15">
      <c r="A1494" s="22">
        <v>42968</v>
      </c>
      <c r="B1494">
        <v>1.1814</v>
      </c>
    </row>
    <row r="1495" spans="1:2" x14ac:dyDescent="0.15">
      <c r="A1495" s="22">
        <v>42969</v>
      </c>
      <c r="B1495">
        <v>1.1759999999999999</v>
      </c>
    </row>
    <row r="1496" spans="1:2" x14ac:dyDescent="0.15">
      <c r="A1496" s="22">
        <v>42970</v>
      </c>
      <c r="B1496">
        <v>1.1805000000000001</v>
      </c>
    </row>
    <row r="1497" spans="1:2" x14ac:dyDescent="0.15">
      <c r="A1497" s="22">
        <v>42971</v>
      </c>
      <c r="B1497">
        <v>1.1797</v>
      </c>
    </row>
    <row r="1498" spans="1:2" x14ac:dyDescent="0.15">
      <c r="A1498" s="22">
        <v>42972</v>
      </c>
      <c r="B1498">
        <v>1.1923999999999999</v>
      </c>
    </row>
    <row r="1499" spans="1:2" x14ac:dyDescent="0.15">
      <c r="A1499" s="22">
        <v>42975</v>
      </c>
      <c r="B1499">
        <v>1.1977</v>
      </c>
    </row>
    <row r="1500" spans="1:2" x14ac:dyDescent="0.15">
      <c r="A1500" s="22">
        <v>42976</v>
      </c>
      <c r="B1500">
        <v>1.1972</v>
      </c>
    </row>
    <row r="1501" spans="1:2" x14ac:dyDescent="0.15">
      <c r="A1501" s="22">
        <v>42977</v>
      </c>
      <c r="B1501">
        <v>1.1880999999999999</v>
      </c>
    </row>
    <row r="1502" spans="1:2" x14ac:dyDescent="0.15">
      <c r="A1502" s="22">
        <v>42978</v>
      </c>
      <c r="B1502">
        <v>1.1908000000000001</v>
      </c>
    </row>
    <row r="1503" spans="1:2" x14ac:dyDescent="0.15">
      <c r="A1503" s="22">
        <v>42979</v>
      </c>
      <c r="B1503">
        <v>1.1857</v>
      </c>
    </row>
    <row r="1504" spans="1:2" x14ac:dyDescent="0.15">
      <c r="A1504" s="22">
        <v>42982</v>
      </c>
      <c r="B1504">
        <v>1.1895</v>
      </c>
    </row>
    <row r="1505" spans="1:2" x14ac:dyDescent="0.15">
      <c r="A1505" s="22">
        <v>42983</v>
      </c>
      <c r="B1505">
        <v>1.1912</v>
      </c>
    </row>
    <row r="1506" spans="1:2" x14ac:dyDescent="0.15">
      <c r="A1506" s="22">
        <v>42984</v>
      </c>
      <c r="B1506">
        <v>1.1915</v>
      </c>
    </row>
    <row r="1507" spans="1:2" x14ac:dyDescent="0.15">
      <c r="A1507" s="22">
        <v>42985</v>
      </c>
      <c r="B1507">
        <v>1.2020999999999999</v>
      </c>
    </row>
    <row r="1508" spans="1:2" x14ac:dyDescent="0.15">
      <c r="A1508" s="22">
        <v>42986</v>
      </c>
      <c r="B1508">
        <v>1.2033</v>
      </c>
    </row>
    <row r="1509" spans="1:2" x14ac:dyDescent="0.15">
      <c r="A1509" s="22">
        <v>42989</v>
      </c>
      <c r="B1509">
        <v>1.1951000000000001</v>
      </c>
    </row>
    <row r="1510" spans="1:2" x14ac:dyDescent="0.15">
      <c r="A1510" s="22">
        <v>42990</v>
      </c>
      <c r="B1510">
        <v>1.1964999999999999</v>
      </c>
    </row>
    <row r="1511" spans="1:2" x14ac:dyDescent="0.15">
      <c r="A1511" s="22">
        <v>42991</v>
      </c>
      <c r="B1511">
        <v>1.1884999999999999</v>
      </c>
    </row>
    <row r="1512" spans="1:2" x14ac:dyDescent="0.15">
      <c r="A1512" s="22">
        <v>42992</v>
      </c>
      <c r="B1512">
        <v>1.1918</v>
      </c>
    </row>
    <row r="1513" spans="1:2" x14ac:dyDescent="0.15">
      <c r="A1513" s="22">
        <v>42993</v>
      </c>
      <c r="B1513">
        <v>1.1940999999999999</v>
      </c>
    </row>
    <row r="1514" spans="1:2" x14ac:dyDescent="0.15">
      <c r="A1514" s="22">
        <v>42996</v>
      </c>
      <c r="B1514">
        <v>1.1952</v>
      </c>
    </row>
    <row r="1515" spans="1:2" x14ac:dyDescent="0.15">
      <c r="A1515" s="22">
        <v>42997</v>
      </c>
      <c r="B1515">
        <v>1.1992</v>
      </c>
    </row>
    <row r="1516" spans="1:2" x14ac:dyDescent="0.15">
      <c r="A1516" s="22">
        <v>42998</v>
      </c>
      <c r="B1516">
        <v>1.1891</v>
      </c>
    </row>
    <row r="1517" spans="1:2" x14ac:dyDescent="0.15">
      <c r="A1517" s="22">
        <v>42999</v>
      </c>
      <c r="B1517">
        <v>1.1939</v>
      </c>
    </row>
    <row r="1518" spans="1:2" x14ac:dyDescent="0.15">
      <c r="A1518" s="22">
        <v>43000</v>
      </c>
      <c r="B1518">
        <v>1.1952</v>
      </c>
    </row>
    <row r="1519" spans="1:2" x14ac:dyDescent="0.15">
      <c r="A1519" s="22">
        <v>43003</v>
      </c>
      <c r="B1519">
        <v>1.1846000000000001</v>
      </c>
    </row>
    <row r="1520" spans="1:2" x14ac:dyDescent="0.15">
      <c r="A1520" s="22">
        <v>43004</v>
      </c>
      <c r="B1520">
        <v>1.1791</v>
      </c>
    </row>
    <row r="1521" spans="1:2" x14ac:dyDescent="0.15">
      <c r="A1521" s="22">
        <v>43005</v>
      </c>
      <c r="B1521">
        <v>1.1742999999999999</v>
      </c>
    </row>
    <row r="1522" spans="1:2" x14ac:dyDescent="0.15">
      <c r="A1522" s="22">
        <v>43006</v>
      </c>
      <c r="B1522">
        <v>1.1783999999999999</v>
      </c>
    </row>
    <row r="1523" spans="1:2" x14ac:dyDescent="0.15">
      <c r="A1523" s="22">
        <v>43007</v>
      </c>
      <c r="B1523">
        <v>1.1812</v>
      </c>
    </row>
    <row r="1524" spans="1:2" x14ac:dyDescent="0.15">
      <c r="A1524" s="22">
        <v>43010</v>
      </c>
      <c r="B1524">
        <v>1.173</v>
      </c>
    </row>
    <row r="1525" spans="1:2" x14ac:dyDescent="0.15">
      <c r="A1525" s="22">
        <v>43011</v>
      </c>
      <c r="B1525">
        <v>1.1741999999999999</v>
      </c>
    </row>
    <row r="1526" spans="1:2" x14ac:dyDescent="0.15">
      <c r="A1526" s="22">
        <v>43012</v>
      </c>
      <c r="B1526">
        <v>1.1758999999999999</v>
      </c>
    </row>
    <row r="1527" spans="1:2" x14ac:dyDescent="0.15">
      <c r="A1527" s="22">
        <v>43013</v>
      </c>
      <c r="B1527">
        <v>1.171</v>
      </c>
    </row>
    <row r="1528" spans="1:2" x14ac:dyDescent="0.15">
      <c r="A1528" s="22">
        <v>43014</v>
      </c>
      <c r="B1528">
        <v>1.1733</v>
      </c>
    </row>
    <row r="1529" spans="1:2" x14ac:dyDescent="0.15">
      <c r="A1529" s="22">
        <v>43017</v>
      </c>
      <c r="B1529">
        <v>1.1738999999999999</v>
      </c>
    </row>
    <row r="1530" spans="1:2" x14ac:dyDescent="0.15">
      <c r="A1530" s="22">
        <v>43018</v>
      </c>
      <c r="B1530">
        <v>1.1806000000000001</v>
      </c>
    </row>
    <row r="1531" spans="1:2" x14ac:dyDescent="0.15">
      <c r="A1531" s="22">
        <v>43019</v>
      </c>
      <c r="B1531">
        <v>1.1857</v>
      </c>
    </row>
    <row r="1532" spans="1:2" x14ac:dyDescent="0.15">
      <c r="A1532" s="22">
        <v>43020</v>
      </c>
      <c r="B1532">
        <v>1.1829000000000001</v>
      </c>
    </row>
    <row r="1533" spans="1:2" x14ac:dyDescent="0.15">
      <c r="A1533" s="22">
        <v>43021</v>
      </c>
      <c r="B1533">
        <v>1.1821999999999999</v>
      </c>
    </row>
    <row r="1534" spans="1:2" x14ac:dyDescent="0.15">
      <c r="A1534" s="22">
        <v>43024</v>
      </c>
      <c r="B1534">
        <v>1.1795</v>
      </c>
    </row>
    <row r="1535" spans="1:2" x14ac:dyDescent="0.15">
      <c r="A1535" s="22">
        <v>43025</v>
      </c>
      <c r="B1535">
        <v>1.1766000000000001</v>
      </c>
    </row>
    <row r="1536" spans="1:2" x14ac:dyDescent="0.15">
      <c r="A1536" s="22">
        <v>43026</v>
      </c>
      <c r="B1536">
        <v>1.1787000000000001</v>
      </c>
    </row>
    <row r="1537" spans="1:2" x14ac:dyDescent="0.15">
      <c r="A1537" s="22">
        <v>43027</v>
      </c>
      <c r="B1537">
        <v>1.1850000000000001</v>
      </c>
    </row>
    <row r="1538" spans="1:2" x14ac:dyDescent="0.15">
      <c r="A1538" s="22">
        <v>43028</v>
      </c>
      <c r="B1538">
        <v>1.1782999999999999</v>
      </c>
    </row>
    <row r="1539" spans="1:2" x14ac:dyDescent="0.15">
      <c r="A1539" s="22">
        <v>43031</v>
      </c>
      <c r="B1539">
        <v>1.1747000000000001</v>
      </c>
    </row>
    <row r="1540" spans="1:2" x14ac:dyDescent="0.15">
      <c r="A1540" s="22">
        <v>43032</v>
      </c>
      <c r="B1540">
        <v>1.1758999999999999</v>
      </c>
    </row>
    <row r="1541" spans="1:2" x14ac:dyDescent="0.15">
      <c r="A1541" s="22">
        <v>43033</v>
      </c>
      <c r="B1541">
        <v>1.1812</v>
      </c>
    </row>
    <row r="1542" spans="1:2" x14ac:dyDescent="0.15">
      <c r="A1542" s="22">
        <v>43034</v>
      </c>
      <c r="B1542">
        <v>1.165</v>
      </c>
    </row>
    <row r="1543" spans="1:2" x14ac:dyDescent="0.15">
      <c r="A1543" s="22">
        <v>43035</v>
      </c>
      <c r="B1543">
        <v>1.1608000000000001</v>
      </c>
    </row>
    <row r="1544" spans="1:2" x14ac:dyDescent="0.15">
      <c r="A1544" s="22">
        <v>43038</v>
      </c>
      <c r="B1544">
        <v>1.1649</v>
      </c>
    </row>
    <row r="1545" spans="1:2" x14ac:dyDescent="0.15">
      <c r="A1545" s="22">
        <v>43039</v>
      </c>
      <c r="B1545">
        <v>1.1644000000000001</v>
      </c>
    </row>
    <row r="1546" spans="1:2" x14ac:dyDescent="0.15">
      <c r="A1546" s="22">
        <v>43040</v>
      </c>
      <c r="B1546">
        <v>1.1617</v>
      </c>
    </row>
    <row r="1547" spans="1:2" x14ac:dyDescent="0.15">
      <c r="A1547" s="22">
        <v>43041</v>
      </c>
      <c r="B1547">
        <v>1.1656</v>
      </c>
    </row>
    <row r="1548" spans="1:2" x14ac:dyDescent="0.15">
      <c r="A1548" s="22">
        <v>43042</v>
      </c>
      <c r="B1548">
        <v>1.1607000000000001</v>
      </c>
    </row>
    <row r="1549" spans="1:2" x14ac:dyDescent="0.15">
      <c r="A1549" s="22">
        <v>43045</v>
      </c>
      <c r="B1549">
        <v>1.1609</v>
      </c>
    </row>
    <row r="1550" spans="1:2" x14ac:dyDescent="0.15">
      <c r="A1550" s="22">
        <v>43046</v>
      </c>
      <c r="B1550">
        <v>1.1585000000000001</v>
      </c>
    </row>
    <row r="1551" spans="1:2" x14ac:dyDescent="0.15">
      <c r="A1551" s="22">
        <v>43047</v>
      </c>
      <c r="B1551">
        <v>1.1593</v>
      </c>
    </row>
    <row r="1552" spans="1:2" x14ac:dyDescent="0.15">
      <c r="A1552" s="22">
        <v>43048</v>
      </c>
      <c r="B1552">
        <v>1.1639999999999999</v>
      </c>
    </row>
    <row r="1553" spans="1:2" x14ac:dyDescent="0.15">
      <c r="A1553" s="22">
        <v>43049</v>
      </c>
      <c r="B1553">
        <v>1.1662999999999999</v>
      </c>
    </row>
    <row r="1554" spans="1:2" x14ac:dyDescent="0.15">
      <c r="A1554" s="22">
        <v>43052</v>
      </c>
      <c r="B1554">
        <v>1.1665000000000001</v>
      </c>
    </row>
    <row r="1555" spans="1:2" x14ac:dyDescent="0.15">
      <c r="A1555" s="22">
        <v>43053</v>
      </c>
      <c r="B1555">
        <v>1.1796</v>
      </c>
    </row>
    <row r="1556" spans="1:2" x14ac:dyDescent="0.15">
      <c r="A1556" s="22">
        <v>43054</v>
      </c>
      <c r="B1556">
        <v>1.1791</v>
      </c>
    </row>
    <row r="1557" spans="1:2" x14ac:dyDescent="0.15">
      <c r="A1557" s="22">
        <v>43055</v>
      </c>
      <c r="B1557">
        <v>1.1769000000000001</v>
      </c>
    </row>
    <row r="1558" spans="1:2" x14ac:dyDescent="0.15">
      <c r="A1558" s="22">
        <v>43056</v>
      </c>
      <c r="B1558">
        <v>1.1793</v>
      </c>
    </row>
    <row r="1559" spans="1:2" x14ac:dyDescent="0.15">
      <c r="A1559" s="22">
        <v>43059</v>
      </c>
      <c r="B1559">
        <v>1.1732</v>
      </c>
    </row>
    <row r="1560" spans="1:2" x14ac:dyDescent="0.15">
      <c r="A1560" s="22">
        <v>43060</v>
      </c>
      <c r="B1560">
        <v>1.1737</v>
      </c>
    </row>
    <row r="1561" spans="1:2" x14ac:dyDescent="0.15">
      <c r="A1561" s="22">
        <v>43061</v>
      </c>
      <c r="B1561">
        <v>1.1819999999999999</v>
      </c>
    </row>
    <row r="1562" spans="1:2" x14ac:dyDescent="0.15">
      <c r="A1562" s="22">
        <v>43062</v>
      </c>
      <c r="B1562">
        <v>1.1850000000000001</v>
      </c>
    </row>
    <row r="1563" spans="1:2" x14ac:dyDescent="0.15">
      <c r="A1563" s="22">
        <v>43063</v>
      </c>
      <c r="B1563">
        <v>1.1930000000000001</v>
      </c>
    </row>
    <row r="1564" spans="1:2" x14ac:dyDescent="0.15">
      <c r="A1564" s="22">
        <v>43066</v>
      </c>
      <c r="B1564">
        <v>1.1896</v>
      </c>
    </row>
    <row r="1565" spans="1:2" x14ac:dyDescent="0.15">
      <c r="A1565" s="22">
        <v>43067</v>
      </c>
      <c r="B1565">
        <v>1.1839</v>
      </c>
    </row>
    <row r="1566" spans="1:2" x14ac:dyDescent="0.15">
      <c r="A1566" s="22">
        <v>43068</v>
      </c>
      <c r="B1566">
        <v>1.1847000000000001</v>
      </c>
    </row>
    <row r="1567" spans="1:2" x14ac:dyDescent="0.15">
      <c r="A1567" s="22">
        <v>43069</v>
      </c>
      <c r="B1567">
        <v>1.1901999999999999</v>
      </c>
    </row>
    <row r="1568" spans="1:2" x14ac:dyDescent="0.15">
      <c r="A1568" s="22">
        <v>43070</v>
      </c>
      <c r="B1568">
        <v>1.1889000000000001</v>
      </c>
    </row>
    <row r="1569" spans="1:2" x14ac:dyDescent="0.15">
      <c r="A1569" s="22">
        <v>43073</v>
      </c>
      <c r="B1569">
        <v>1.1863999999999999</v>
      </c>
    </row>
    <row r="1570" spans="1:2" x14ac:dyDescent="0.15">
      <c r="A1570" s="22">
        <v>43074</v>
      </c>
      <c r="B1570">
        <v>1.1823999999999999</v>
      </c>
    </row>
    <row r="1571" spans="1:2" x14ac:dyDescent="0.15">
      <c r="A1571" s="22">
        <v>43075</v>
      </c>
      <c r="B1571">
        <v>1.1795</v>
      </c>
    </row>
    <row r="1572" spans="1:2" x14ac:dyDescent="0.15">
      <c r="A1572" s="22">
        <v>43076</v>
      </c>
      <c r="B1572">
        <v>1.1771</v>
      </c>
    </row>
    <row r="1573" spans="1:2" x14ac:dyDescent="0.15">
      <c r="A1573" s="22">
        <v>43077</v>
      </c>
      <c r="B1573">
        <v>1.1763999999999999</v>
      </c>
    </row>
    <row r="1574" spans="1:2" x14ac:dyDescent="0.15">
      <c r="A1574" s="22">
        <v>43080</v>
      </c>
      <c r="B1574">
        <v>1.1768000000000001</v>
      </c>
    </row>
    <row r="1575" spans="1:2" x14ac:dyDescent="0.15">
      <c r="A1575" s="22">
        <v>43081</v>
      </c>
      <c r="B1575">
        <v>1.1739999999999999</v>
      </c>
    </row>
    <row r="1576" spans="1:2" x14ac:dyDescent="0.15">
      <c r="A1576" s="22">
        <v>43082</v>
      </c>
      <c r="B1576">
        <v>1.1825000000000001</v>
      </c>
    </row>
    <row r="1577" spans="1:2" x14ac:dyDescent="0.15">
      <c r="A1577" s="22">
        <v>43083</v>
      </c>
      <c r="B1577">
        <v>1.1777</v>
      </c>
    </row>
    <row r="1578" spans="1:2" x14ac:dyDescent="0.15">
      <c r="A1578" s="22">
        <v>43084</v>
      </c>
      <c r="B1578">
        <v>1.1752</v>
      </c>
    </row>
    <row r="1579" spans="1:2" x14ac:dyDescent="0.15">
      <c r="A1579" s="22">
        <v>43087</v>
      </c>
      <c r="B1579">
        <v>1.1780999999999999</v>
      </c>
    </row>
    <row r="1580" spans="1:2" x14ac:dyDescent="0.15">
      <c r="A1580" s="22">
        <v>43088</v>
      </c>
      <c r="B1580">
        <v>1.1838</v>
      </c>
    </row>
    <row r="1581" spans="1:2" x14ac:dyDescent="0.15">
      <c r="A1581" s="22">
        <v>43089</v>
      </c>
      <c r="B1581">
        <v>1.1869000000000001</v>
      </c>
    </row>
    <row r="1582" spans="1:2" x14ac:dyDescent="0.15">
      <c r="A1582" s="22">
        <v>43090</v>
      </c>
      <c r="B1582">
        <v>1.1873</v>
      </c>
    </row>
    <row r="1583" spans="1:2" x14ac:dyDescent="0.15">
      <c r="A1583" s="22">
        <v>43091</v>
      </c>
      <c r="B1583">
        <v>1.1857</v>
      </c>
    </row>
    <row r="1584" spans="1:2" x14ac:dyDescent="0.15">
      <c r="A1584" s="22">
        <v>43094</v>
      </c>
      <c r="B1584">
        <v>1.1868000000000001</v>
      </c>
    </row>
    <row r="1585" spans="1:2" x14ac:dyDescent="0.15">
      <c r="A1585" s="22">
        <v>43095</v>
      </c>
      <c r="B1585">
        <v>1.1858</v>
      </c>
    </row>
    <row r="1586" spans="1:2" x14ac:dyDescent="0.15">
      <c r="A1586" s="22">
        <v>43096</v>
      </c>
      <c r="B1586">
        <v>1.1886000000000001</v>
      </c>
    </row>
    <row r="1587" spans="1:2" x14ac:dyDescent="0.15">
      <c r="A1587" s="22">
        <v>43097</v>
      </c>
      <c r="B1587">
        <v>1.1940999999999999</v>
      </c>
    </row>
    <row r="1588" spans="1:2" x14ac:dyDescent="0.15">
      <c r="A1588" s="22">
        <v>43098</v>
      </c>
      <c r="B1588">
        <v>1.1996</v>
      </c>
    </row>
    <row r="1589" spans="1:2" x14ac:dyDescent="0.15">
      <c r="A1589" s="22">
        <v>43101</v>
      </c>
      <c r="B1589">
        <v>1.2008000000000001</v>
      </c>
    </row>
    <row r="1590" spans="1:2" x14ac:dyDescent="0.15">
      <c r="A1590" s="22">
        <v>43102</v>
      </c>
      <c r="B1590">
        <v>1.2057</v>
      </c>
    </row>
    <row r="1591" spans="1:2" x14ac:dyDescent="0.15">
      <c r="A1591" s="22">
        <v>43103</v>
      </c>
      <c r="B1591">
        <v>1.2012</v>
      </c>
    </row>
    <row r="1592" spans="1:2" x14ac:dyDescent="0.15">
      <c r="A1592" s="22">
        <v>43104</v>
      </c>
      <c r="B1592">
        <v>1.2067000000000001</v>
      </c>
    </row>
    <row r="1593" spans="1:2" x14ac:dyDescent="0.15">
      <c r="A1593" s="22">
        <v>43105</v>
      </c>
      <c r="B1593">
        <v>1.2028000000000001</v>
      </c>
    </row>
    <row r="1594" spans="1:2" x14ac:dyDescent="0.15">
      <c r="A1594" s="22">
        <v>43108</v>
      </c>
      <c r="B1594">
        <v>1.1964999999999999</v>
      </c>
    </row>
    <row r="1595" spans="1:2" x14ac:dyDescent="0.15">
      <c r="A1595" s="22">
        <v>43109</v>
      </c>
      <c r="B1595">
        <v>1.1935</v>
      </c>
    </row>
    <row r="1596" spans="1:2" x14ac:dyDescent="0.15">
      <c r="A1596" s="22">
        <v>43110</v>
      </c>
      <c r="B1596">
        <v>1.1944999999999999</v>
      </c>
    </row>
    <row r="1597" spans="1:2" x14ac:dyDescent="0.15">
      <c r="A1597" s="22">
        <v>43111</v>
      </c>
      <c r="B1597">
        <v>1.2031000000000001</v>
      </c>
    </row>
    <row r="1598" spans="1:2" x14ac:dyDescent="0.15">
      <c r="A1598" s="22">
        <v>43112</v>
      </c>
      <c r="B1598">
        <v>1.2184999999999999</v>
      </c>
    </row>
    <row r="1599" spans="1:2" x14ac:dyDescent="0.15">
      <c r="A1599" s="22">
        <v>43115</v>
      </c>
      <c r="B1599">
        <v>1.2261</v>
      </c>
    </row>
    <row r="1600" spans="1:2" x14ac:dyDescent="0.15">
      <c r="A1600" s="22">
        <v>43116</v>
      </c>
      <c r="B1600">
        <v>1.2259</v>
      </c>
    </row>
    <row r="1601" spans="1:2" x14ac:dyDescent="0.15">
      <c r="A1601" s="22">
        <v>43117</v>
      </c>
      <c r="B1601">
        <v>1.2183999999999999</v>
      </c>
    </row>
    <row r="1602" spans="1:2" x14ac:dyDescent="0.15">
      <c r="A1602" s="22">
        <v>43118</v>
      </c>
      <c r="B1602">
        <v>1.2237</v>
      </c>
    </row>
    <row r="1603" spans="1:2" x14ac:dyDescent="0.15">
      <c r="A1603" s="22">
        <v>43119</v>
      </c>
      <c r="B1603">
        <v>1.222</v>
      </c>
    </row>
    <row r="1604" spans="1:2" x14ac:dyDescent="0.15">
      <c r="A1604" s="22">
        <v>43122</v>
      </c>
      <c r="B1604">
        <v>1.226</v>
      </c>
    </row>
    <row r="1605" spans="1:2" x14ac:dyDescent="0.15">
      <c r="A1605" s="22">
        <v>43123</v>
      </c>
      <c r="B1605">
        <v>1.2297</v>
      </c>
    </row>
    <row r="1606" spans="1:2" x14ac:dyDescent="0.15">
      <c r="A1606" s="22">
        <v>43124</v>
      </c>
      <c r="B1606">
        <v>1.2405999999999999</v>
      </c>
    </row>
    <row r="1607" spans="1:2" x14ac:dyDescent="0.15">
      <c r="A1607" s="22">
        <v>43125</v>
      </c>
      <c r="B1607">
        <v>1.2395</v>
      </c>
    </row>
    <row r="1608" spans="1:2" x14ac:dyDescent="0.15">
      <c r="A1608" s="22">
        <v>43126</v>
      </c>
      <c r="B1608">
        <v>1.2419</v>
      </c>
    </row>
    <row r="1609" spans="1:2" x14ac:dyDescent="0.15">
      <c r="A1609" s="22">
        <v>43129</v>
      </c>
      <c r="B1609">
        <v>1.2381</v>
      </c>
    </row>
    <row r="1610" spans="1:2" x14ac:dyDescent="0.15">
      <c r="A1610" s="22">
        <v>43130</v>
      </c>
      <c r="B1610">
        <v>1.24</v>
      </c>
    </row>
    <row r="1611" spans="1:2" x14ac:dyDescent="0.15">
      <c r="A1611" s="22">
        <v>43131</v>
      </c>
      <c r="B1611">
        <v>1.242</v>
      </c>
    </row>
    <row r="1612" spans="1:2" x14ac:dyDescent="0.15">
      <c r="A1612" s="22">
        <v>43132</v>
      </c>
      <c r="B1612">
        <v>1.2507999999999999</v>
      </c>
    </row>
    <row r="1613" spans="1:2" x14ac:dyDescent="0.15">
      <c r="A1613" s="22">
        <v>43133</v>
      </c>
      <c r="B1613">
        <v>1.246</v>
      </c>
    </row>
    <row r="1614" spans="1:2" x14ac:dyDescent="0.15">
      <c r="A1614" s="22">
        <v>43136</v>
      </c>
      <c r="B1614">
        <v>1.2366999999999999</v>
      </c>
    </row>
    <row r="1615" spans="1:2" x14ac:dyDescent="0.15">
      <c r="A1615" s="22">
        <v>43137</v>
      </c>
      <c r="B1615">
        <v>1.2376</v>
      </c>
    </row>
    <row r="1616" spans="1:2" x14ac:dyDescent="0.15">
      <c r="A1616" s="22">
        <v>43138</v>
      </c>
      <c r="B1616">
        <v>1.2262</v>
      </c>
    </row>
    <row r="1617" spans="1:2" x14ac:dyDescent="0.15">
      <c r="A1617" s="22">
        <v>43139</v>
      </c>
      <c r="B1617">
        <v>1.2244999999999999</v>
      </c>
    </row>
    <row r="1618" spans="1:2" x14ac:dyDescent="0.15">
      <c r="A1618" s="22">
        <v>43140</v>
      </c>
      <c r="B1618">
        <v>1.2233000000000001</v>
      </c>
    </row>
    <row r="1619" spans="1:2" x14ac:dyDescent="0.15">
      <c r="A1619" s="22">
        <v>43143</v>
      </c>
      <c r="B1619">
        <v>1.2291000000000001</v>
      </c>
    </row>
    <row r="1620" spans="1:2" x14ac:dyDescent="0.15">
      <c r="A1620" s="22">
        <v>43144</v>
      </c>
      <c r="B1620">
        <v>1.2350000000000001</v>
      </c>
    </row>
    <row r="1621" spans="1:2" x14ac:dyDescent="0.15">
      <c r="A1621" s="22">
        <v>43145</v>
      </c>
      <c r="B1621">
        <v>1.2447999999999999</v>
      </c>
    </row>
    <row r="1622" spans="1:2" x14ac:dyDescent="0.15">
      <c r="A1622" s="22">
        <v>43146</v>
      </c>
      <c r="B1622">
        <v>1.2504999999999999</v>
      </c>
    </row>
    <row r="1623" spans="1:2" x14ac:dyDescent="0.15">
      <c r="A1623" s="22">
        <v>43147</v>
      </c>
      <c r="B1623">
        <v>1.2403999999999999</v>
      </c>
    </row>
    <row r="1624" spans="1:2" x14ac:dyDescent="0.15">
      <c r="A1624" s="22">
        <v>43150</v>
      </c>
      <c r="B1624">
        <v>1.2406999999999999</v>
      </c>
    </row>
    <row r="1625" spans="1:2" x14ac:dyDescent="0.15">
      <c r="A1625" s="22">
        <v>43151</v>
      </c>
      <c r="B1625">
        <v>1.2336</v>
      </c>
    </row>
    <row r="1626" spans="1:2" x14ac:dyDescent="0.15">
      <c r="A1626" s="22">
        <v>43152</v>
      </c>
      <c r="B1626">
        <v>1.2282</v>
      </c>
    </row>
    <row r="1627" spans="1:2" x14ac:dyDescent="0.15">
      <c r="A1627" s="22">
        <v>43153</v>
      </c>
      <c r="B1627">
        <v>1.2329000000000001</v>
      </c>
    </row>
    <row r="1628" spans="1:2" x14ac:dyDescent="0.15">
      <c r="A1628" s="22">
        <v>43154</v>
      </c>
      <c r="B1628">
        <v>1.2293000000000001</v>
      </c>
    </row>
    <row r="1629" spans="1:2" x14ac:dyDescent="0.15">
      <c r="A1629" s="22">
        <v>43157</v>
      </c>
      <c r="B1629">
        <v>1.2316</v>
      </c>
    </row>
    <row r="1630" spans="1:2" x14ac:dyDescent="0.15">
      <c r="A1630" s="22">
        <v>43158</v>
      </c>
      <c r="B1630">
        <v>1.2231000000000001</v>
      </c>
    </row>
    <row r="1631" spans="1:2" x14ac:dyDescent="0.15">
      <c r="A1631" s="22">
        <v>43159</v>
      </c>
      <c r="B1631">
        <v>1.2193000000000001</v>
      </c>
    </row>
    <row r="1632" spans="1:2" x14ac:dyDescent="0.15">
      <c r="A1632" s="22">
        <v>43160</v>
      </c>
      <c r="B1632">
        <v>1.2266999999999999</v>
      </c>
    </row>
    <row r="1633" spans="1:2" x14ac:dyDescent="0.15">
      <c r="A1633" s="22">
        <v>43161</v>
      </c>
      <c r="B1633">
        <v>1.2317</v>
      </c>
    </row>
    <row r="1634" spans="1:2" x14ac:dyDescent="0.15">
      <c r="A1634" s="22">
        <v>43164</v>
      </c>
      <c r="B1634">
        <v>1.2335</v>
      </c>
    </row>
    <row r="1635" spans="1:2" x14ac:dyDescent="0.15">
      <c r="A1635" s="22">
        <v>43165</v>
      </c>
      <c r="B1635">
        <v>1.2402</v>
      </c>
    </row>
    <row r="1636" spans="1:2" x14ac:dyDescent="0.15">
      <c r="A1636" s="22">
        <v>43166</v>
      </c>
      <c r="B1636">
        <v>1.2412000000000001</v>
      </c>
    </row>
    <row r="1637" spans="1:2" x14ac:dyDescent="0.15">
      <c r="A1637" s="22">
        <v>43167</v>
      </c>
      <c r="B1637">
        <v>1.2310000000000001</v>
      </c>
    </row>
    <row r="1638" spans="1:2" x14ac:dyDescent="0.15">
      <c r="A1638" s="22">
        <v>43168</v>
      </c>
      <c r="B1638">
        <v>1.2304999999999999</v>
      </c>
    </row>
    <row r="1639" spans="1:2" x14ac:dyDescent="0.15">
      <c r="A1639" s="22">
        <v>43171</v>
      </c>
      <c r="B1639">
        <v>1.2332000000000001</v>
      </c>
    </row>
    <row r="1640" spans="1:2" x14ac:dyDescent="0.15">
      <c r="A1640" s="22">
        <v>43172</v>
      </c>
      <c r="B1640">
        <v>1.2388999999999999</v>
      </c>
    </row>
    <row r="1641" spans="1:2" x14ac:dyDescent="0.15">
      <c r="A1641" s="22">
        <v>43173</v>
      </c>
      <c r="B1641">
        <v>1.2364999999999999</v>
      </c>
    </row>
    <row r="1642" spans="1:2" x14ac:dyDescent="0.15">
      <c r="A1642" s="22">
        <v>43174</v>
      </c>
      <c r="B1642">
        <v>1.2303999999999999</v>
      </c>
    </row>
    <row r="1643" spans="1:2" x14ac:dyDescent="0.15">
      <c r="A1643" s="22">
        <v>43175</v>
      </c>
      <c r="B1643">
        <v>1.2286999999999999</v>
      </c>
    </row>
    <row r="1644" spans="1:2" x14ac:dyDescent="0.15">
      <c r="A1644" s="22">
        <v>43178</v>
      </c>
      <c r="B1644">
        <v>1.2333000000000001</v>
      </c>
    </row>
    <row r="1645" spans="1:2" x14ac:dyDescent="0.15">
      <c r="A1645" s="22">
        <v>43179</v>
      </c>
      <c r="B1645">
        <v>1.224</v>
      </c>
    </row>
    <row r="1646" spans="1:2" x14ac:dyDescent="0.15">
      <c r="A1646" s="22">
        <v>43180</v>
      </c>
      <c r="B1646">
        <v>1.2336</v>
      </c>
    </row>
    <row r="1647" spans="1:2" x14ac:dyDescent="0.15">
      <c r="A1647" s="22">
        <v>43181</v>
      </c>
      <c r="B1647">
        <v>1.23</v>
      </c>
    </row>
    <row r="1648" spans="1:2" x14ac:dyDescent="0.15">
      <c r="A1648" s="22">
        <v>43182</v>
      </c>
      <c r="B1648">
        <v>1.2351000000000001</v>
      </c>
    </row>
    <row r="1649" spans="1:2" x14ac:dyDescent="0.15">
      <c r="A1649" s="22">
        <v>43185</v>
      </c>
      <c r="B1649">
        <v>1.2442</v>
      </c>
    </row>
    <row r="1650" spans="1:2" x14ac:dyDescent="0.15">
      <c r="A1650" s="22">
        <v>43186</v>
      </c>
      <c r="B1650">
        <v>1.2401</v>
      </c>
    </row>
    <row r="1651" spans="1:2" x14ac:dyDescent="0.15">
      <c r="A1651" s="22">
        <v>43187</v>
      </c>
      <c r="B1651">
        <v>1.2306999999999999</v>
      </c>
    </row>
    <row r="1652" spans="1:2" x14ac:dyDescent="0.15">
      <c r="A1652" s="22">
        <v>43188</v>
      </c>
      <c r="B1652">
        <v>1.2301</v>
      </c>
    </row>
    <row r="1653" spans="1:2" x14ac:dyDescent="0.15">
      <c r="A1653" s="22">
        <v>43189</v>
      </c>
      <c r="B1653">
        <v>1.2321</v>
      </c>
    </row>
    <row r="1654" spans="1:2" x14ac:dyDescent="0.15">
      <c r="A1654" s="22">
        <v>43192</v>
      </c>
      <c r="B1654">
        <v>1.23</v>
      </c>
    </row>
    <row r="1655" spans="1:2" x14ac:dyDescent="0.15">
      <c r="A1655" s="22">
        <v>43193</v>
      </c>
      <c r="B1655">
        <v>1.2269000000000001</v>
      </c>
    </row>
    <row r="1656" spans="1:2" x14ac:dyDescent="0.15">
      <c r="A1656" s="22">
        <v>43194</v>
      </c>
      <c r="B1656">
        <v>1.2277</v>
      </c>
    </row>
    <row r="1657" spans="1:2" x14ac:dyDescent="0.15">
      <c r="A1657" s="22">
        <v>43195</v>
      </c>
      <c r="B1657">
        <v>1.2238</v>
      </c>
    </row>
    <row r="1658" spans="1:2" x14ac:dyDescent="0.15">
      <c r="A1658" s="22">
        <v>43196</v>
      </c>
      <c r="B1658">
        <v>1.2281</v>
      </c>
    </row>
    <row r="1659" spans="1:2" x14ac:dyDescent="0.15">
      <c r="A1659" s="22">
        <v>43199</v>
      </c>
      <c r="B1659">
        <v>1.2319</v>
      </c>
    </row>
    <row r="1660" spans="1:2" x14ac:dyDescent="0.15">
      <c r="A1660" s="22">
        <v>43200</v>
      </c>
      <c r="B1660">
        <v>1.2354000000000001</v>
      </c>
    </row>
    <row r="1661" spans="1:2" x14ac:dyDescent="0.15">
      <c r="A1661" s="22">
        <v>43201</v>
      </c>
      <c r="B1661">
        <v>1.2364999999999999</v>
      </c>
    </row>
    <row r="1662" spans="1:2" x14ac:dyDescent="0.15">
      <c r="A1662" s="22">
        <v>43202</v>
      </c>
      <c r="B1662">
        <v>1.2324999999999999</v>
      </c>
    </row>
    <row r="1663" spans="1:2" x14ac:dyDescent="0.15">
      <c r="A1663" s="22">
        <v>43203</v>
      </c>
      <c r="B1663">
        <v>1.2329000000000001</v>
      </c>
    </row>
    <row r="1664" spans="1:2" x14ac:dyDescent="0.15">
      <c r="A1664" s="22">
        <v>43206</v>
      </c>
      <c r="B1664">
        <v>1.2378</v>
      </c>
    </row>
    <row r="1665" spans="1:2" x14ac:dyDescent="0.15">
      <c r="A1665" s="22">
        <v>43207</v>
      </c>
      <c r="B1665">
        <v>1.2370000000000001</v>
      </c>
    </row>
    <row r="1666" spans="1:2" x14ac:dyDescent="0.15">
      <c r="A1666" s="22">
        <v>43208</v>
      </c>
      <c r="B1666">
        <v>1.2372000000000001</v>
      </c>
    </row>
    <row r="1667" spans="1:2" x14ac:dyDescent="0.15">
      <c r="A1667" s="22">
        <v>43209</v>
      </c>
      <c r="B1667">
        <v>1.2343999999999999</v>
      </c>
    </row>
    <row r="1668" spans="1:2" x14ac:dyDescent="0.15">
      <c r="A1668" s="22">
        <v>43210</v>
      </c>
      <c r="B1668">
        <v>1.2285999999999999</v>
      </c>
    </row>
    <row r="1669" spans="1:2" x14ac:dyDescent="0.15">
      <c r="A1669" s="22">
        <v>43213</v>
      </c>
      <c r="B1669">
        <v>1.2206999999999999</v>
      </c>
    </row>
    <row r="1670" spans="1:2" x14ac:dyDescent="0.15">
      <c r="A1670" s="22">
        <v>43214</v>
      </c>
      <c r="B1670">
        <v>1.2230000000000001</v>
      </c>
    </row>
    <row r="1671" spans="1:2" x14ac:dyDescent="0.15">
      <c r="A1671" s="22">
        <v>43215</v>
      </c>
      <c r="B1671">
        <v>1.2159</v>
      </c>
    </row>
    <row r="1672" spans="1:2" x14ac:dyDescent="0.15">
      <c r="A1672" s="22">
        <v>43216</v>
      </c>
      <c r="B1672">
        <v>1.2101</v>
      </c>
    </row>
    <row r="1673" spans="1:2" x14ac:dyDescent="0.15">
      <c r="A1673" s="22">
        <v>43217</v>
      </c>
      <c r="B1673">
        <v>1.2128000000000001</v>
      </c>
    </row>
    <row r="1674" spans="1:2" x14ac:dyDescent="0.15">
      <c r="A1674" s="22">
        <v>43220</v>
      </c>
      <c r="B1674">
        <v>1.2077</v>
      </c>
    </row>
    <row r="1675" spans="1:2" x14ac:dyDescent="0.15">
      <c r="A1675" s="22">
        <v>43221</v>
      </c>
      <c r="B1675">
        <v>1.1993</v>
      </c>
    </row>
    <row r="1676" spans="1:2" x14ac:dyDescent="0.15">
      <c r="A1676" s="22">
        <v>43222</v>
      </c>
      <c r="B1676">
        <v>1.1950000000000001</v>
      </c>
    </row>
    <row r="1677" spans="1:2" x14ac:dyDescent="0.15">
      <c r="A1677" s="22">
        <v>43223</v>
      </c>
      <c r="B1677">
        <v>1.1987000000000001</v>
      </c>
    </row>
    <row r="1678" spans="1:2" x14ac:dyDescent="0.15">
      <c r="A1678" s="22">
        <v>43224</v>
      </c>
      <c r="B1678">
        <v>1.1958</v>
      </c>
    </row>
    <row r="1679" spans="1:2" x14ac:dyDescent="0.15">
      <c r="A1679" s="22">
        <v>43227</v>
      </c>
      <c r="B1679">
        <v>1.1919999999999999</v>
      </c>
    </row>
    <row r="1680" spans="1:2" x14ac:dyDescent="0.15">
      <c r="A1680" s="22">
        <v>43228</v>
      </c>
      <c r="B1680">
        <v>1.1861999999999999</v>
      </c>
    </row>
    <row r="1681" spans="1:2" x14ac:dyDescent="0.15">
      <c r="A1681" s="22">
        <v>43229</v>
      </c>
      <c r="B1681">
        <v>1.1850000000000001</v>
      </c>
    </row>
    <row r="1682" spans="1:2" x14ac:dyDescent="0.15">
      <c r="A1682" s="22">
        <v>43230</v>
      </c>
      <c r="B1682">
        <v>1.1913</v>
      </c>
    </row>
    <row r="1683" spans="1:2" x14ac:dyDescent="0.15">
      <c r="A1683" s="22">
        <v>43231</v>
      </c>
      <c r="B1683">
        <v>1.1941999999999999</v>
      </c>
    </row>
    <row r="1684" spans="1:2" x14ac:dyDescent="0.15">
      <c r="A1684" s="22">
        <v>43234</v>
      </c>
      <c r="B1684">
        <v>1.1924999999999999</v>
      </c>
    </row>
    <row r="1685" spans="1:2" x14ac:dyDescent="0.15">
      <c r="A1685" s="22">
        <v>43235</v>
      </c>
      <c r="B1685">
        <v>1.1837</v>
      </c>
    </row>
    <row r="1686" spans="1:2" x14ac:dyDescent="0.15">
      <c r="A1686" s="22">
        <v>43236</v>
      </c>
      <c r="B1686">
        <v>1.1807000000000001</v>
      </c>
    </row>
    <row r="1687" spans="1:2" x14ac:dyDescent="0.15">
      <c r="A1687" s="22">
        <v>43237</v>
      </c>
      <c r="B1687">
        <v>1.1793</v>
      </c>
    </row>
    <row r="1688" spans="1:2" x14ac:dyDescent="0.15">
      <c r="A1688" s="22">
        <v>43238</v>
      </c>
      <c r="B1688">
        <v>1.1775</v>
      </c>
    </row>
    <row r="1689" spans="1:2" x14ac:dyDescent="0.15">
      <c r="A1689" s="22">
        <v>43241</v>
      </c>
      <c r="B1689">
        <v>1.179</v>
      </c>
    </row>
    <row r="1690" spans="1:2" x14ac:dyDescent="0.15">
      <c r="A1690" s="22">
        <v>43242</v>
      </c>
      <c r="B1690">
        <v>1.1778</v>
      </c>
    </row>
    <row r="1691" spans="1:2" x14ac:dyDescent="0.15">
      <c r="A1691" s="22">
        <v>43243</v>
      </c>
      <c r="B1691">
        <v>1.1696</v>
      </c>
    </row>
    <row r="1692" spans="1:2" x14ac:dyDescent="0.15">
      <c r="A1692" s="22">
        <v>43244</v>
      </c>
      <c r="B1692">
        <v>1.1718999999999999</v>
      </c>
    </row>
    <row r="1693" spans="1:2" x14ac:dyDescent="0.15">
      <c r="A1693" s="22">
        <v>43245</v>
      </c>
      <c r="B1693">
        <v>1.165</v>
      </c>
    </row>
    <row r="1694" spans="1:2" x14ac:dyDescent="0.15">
      <c r="A1694" s="22">
        <v>43248</v>
      </c>
      <c r="B1694">
        <v>1.1621999999999999</v>
      </c>
    </row>
    <row r="1695" spans="1:2" x14ac:dyDescent="0.15">
      <c r="A1695" s="22">
        <v>43249</v>
      </c>
      <c r="B1695">
        <v>1.1537999999999999</v>
      </c>
    </row>
    <row r="1696" spans="1:2" x14ac:dyDescent="0.15">
      <c r="A1696" s="22">
        <v>43250</v>
      </c>
      <c r="B1696">
        <v>1.1660999999999999</v>
      </c>
    </row>
    <row r="1697" spans="1:2" x14ac:dyDescent="0.15">
      <c r="A1697" s="22">
        <v>43251</v>
      </c>
      <c r="B1697">
        <v>1.169</v>
      </c>
    </row>
    <row r="1698" spans="1:2" x14ac:dyDescent="0.15">
      <c r="A1698" s="22">
        <v>43252</v>
      </c>
      <c r="B1698">
        <v>1.1659999999999999</v>
      </c>
    </row>
    <row r="1699" spans="1:2" x14ac:dyDescent="0.15">
      <c r="A1699" s="22">
        <v>43255</v>
      </c>
      <c r="B1699">
        <v>1.1698</v>
      </c>
    </row>
    <row r="1700" spans="1:2" x14ac:dyDescent="0.15">
      <c r="A1700" s="22">
        <v>43256</v>
      </c>
      <c r="B1700">
        <v>1.1717</v>
      </c>
    </row>
    <row r="1701" spans="1:2" x14ac:dyDescent="0.15">
      <c r="A1701" s="22">
        <v>43257</v>
      </c>
      <c r="B1701">
        <v>1.1773</v>
      </c>
    </row>
    <row r="1702" spans="1:2" x14ac:dyDescent="0.15">
      <c r="A1702" s="22">
        <v>43258</v>
      </c>
      <c r="B1702">
        <v>1.1797</v>
      </c>
    </row>
    <row r="1703" spans="1:2" x14ac:dyDescent="0.15">
      <c r="A1703" s="22">
        <v>43259</v>
      </c>
      <c r="B1703">
        <v>1.1766000000000001</v>
      </c>
    </row>
    <row r="1704" spans="1:2" x14ac:dyDescent="0.15">
      <c r="A1704" s="22">
        <v>43262</v>
      </c>
      <c r="B1704">
        <v>1.1781999999999999</v>
      </c>
    </row>
    <row r="1705" spans="1:2" x14ac:dyDescent="0.15">
      <c r="A1705" s="22">
        <v>43263</v>
      </c>
      <c r="B1705">
        <v>1.1742999999999999</v>
      </c>
    </row>
    <row r="1706" spans="1:2" x14ac:dyDescent="0.15">
      <c r="A1706" s="22">
        <v>43264</v>
      </c>
      <c r="B1706">
        <v>1.1789000000000001</v>
      </c>
    </row>
    <row r="1707" spans="1:2" x14ac:dyDescent="0.15">
      <c r="A1707" s="22">
        <v>43265</v>
      </c>
      <c r="B1707">
        <v>1.1567000000000001</v>
      </c>
    </row>
    <row r="1708" spans="1:2" x14ac:dyDescent="0.15">
      <c r="A1708" s="22">
        <v>43266</v>
      </c>
      <c r="B1708">
        <v>1.1607000000000001</v>
      </c>
    </row>
    <row r="1709" spans="1:2" x14ac:dyDescent="0.15">
      <c r="A1709" s="22">
        <v>43269</v>
      </c>
      <c r="B1709">
        <v>1.1621999999999999</v>
      </c>
    </row>
    <row r="1710" spans="1:2" x14ac:dyDescent="0.15">
      <c r="A1710" s="22">
        <v>43270</v>
      </c>
      <c r="B1710">
        <v>1.1588000000000001</v>
      </c>
    </row>
    <row r="1711" spans="1:2" x14ac:dyDescent="0.15">
      <c r="A1711" s="22">
        <v>43271</v>
      </c>
      <c r="B1711">
        <v>1.157</v>
      </c>
    </row>
    <row r="1712" spans="1:2" x14ac:dyDescent="0.15">
      <c r="A1712" s="22">
        <v>43272</v>
      </c>
      <c r="B1712">
        <v>1.1600999999999999</v>
      </c>
    </row>
    <row r="1713" spans="1:2" x14ac:dyDescent="0.15">
      <c r="A1713" s="22">
        <v>43273</v>
      </c>
      <c r="B1713">
        <v>1.1655</v>
      </c>
    </row>
    <row r="1714" spans="1:2" x14ac:dyDescent="0.15">
      <c r="A1714" s="22">
        <v>43276</v>
      </c>
      <c r="B1714">
        <v>1.1701999999999999</v>
      </c>
    </row>
    <row r="1715" spans="1:2" x14ac:dyDescent="0.15">
      <c r="A1715" s="22">
        <v>43277</v>
      </c>
      <c r="B1715">
        <v>1.1645000000000001</v>
      </c>
    </row>
    <row r="1716" spans="1:2" x14ac:dyDescent="0.15">
      <c r="A1716" s="22">
        <v>43278</v>
      </c>
      <c r="B1716">
        <v>1.1552</v>
      </c>
    </row>
    <row r="1717" spans="1:2" x14ac:dyDescent="0.15">
      <c r="A1717" s="22">
        <v>43279</v>
      </c>
      <c r="B1717">
        <v>1.1567000000000001</v>
      </c>
    </row>
    <row r="1718" spans="1:2" x14ac:dyDescent="0.15">
      <c r="A1718" s="22">
        <v>43280</v>
      </c>
      <c r="B1718">
        <v>1.1682999999999999</v>
      </c>
    </row>
    <row r="1719" spans="1:2" x14ac:dyDescent="0.15">
      <c r="A1719" s="22">
        <v>43283</v>
      </c>
      <c r="B1719">
        <v>1.1638999999999999</v>
      </c>
    </row>
    <row r="1720" spans="1:2" x14ac:dyDescent="0.15">
      <c r="A1720" s="22">
        <v>43284</v>
      </c>
      <c r="B1720">
        <v>1.1655</v>
      </c>
    </row>
    <row r="1721" spans="1:2" x14ac:dyDescent="0.15">
      <c r="A1721" s="22">
        <v>43285</v>
      </c>
      <c r="B1721">
        <v>1.1654</v>
      </c>
    </row>
    <row r="1722" spans="1:2" x14ac:dyDescent="0.15">
      <c r="A1722" s="22">
        <v>43286</v>
      </c>
      <c r="B1722">
        <v>1.1689000000000001</v>
      </c>
    </row>
    <row r="1723" spans="1:2" x14ac:dyDescent="0.15">
      <c r="A1723" s="22">
        <v>43287</v>
      </c>
      <c r="B1723">
        <v>1.1745000000000001</v>
      </c>
    </row>
    <row r="1724" spans="1:2" x14ac:dyDescent="0.15">
      <c r="A1724" s="22">
        <v>43290</v>
      </c>
      <c r="B1724">
        <v>1.1749000000000001</v>
      </c>
    </row>
    <row r="1725" spans="1:2" x14ac:dyDescent="0.15">
      <c r="A1725" s="22">
        <v>43291</v>
      </c>
      <c r="B1725">
        <v>1.1741999999999999</v>
      </c>
    </row>
    <row r="1726" spans="1:2" x14ac:dyDescent="0.15">
      <c r="A1726" s="22">
        <v>43292</v>
      </c>
      <c r="B1726">
        <v>1.1672</v>
      </c>
    </row>
    <row r="1727" spans="1:2" x14ac:dyDescent="0.15">
      <c r="A1727" s="22">
        <v>43293</v>
      </c>
      <c r="B1727">
        <v>1.1671</v>
      </c>
    </row>
    <row r="1728" spans="1:2" x14ac:dyDescent="0.15">
      <c r="A1728" s="22">
        <v>43294</v>
      </c>
      <c r="B1728">
        <v>1.1685000000000001</v>
      </c>
    </row>
    <row r="1729" spans="1:2" x14ac:dyDescent="0.15">
      <c r="A1729" s="22">
        <v>43297</v>
      </c>
      <c r="B1729">
        <v>1.1709000000000001</v>
      </c>
    </row>
    <row r="1730" spans="1:2" x14ac:dyDescent="0.15">
      <c r="A1730" s="22">
        <v>43298</v>
      </c>
      <c r="B1730">
        <v>1.1658999999999999</v>
      </c>
    </row>
    <row r="1731" spans="1:2" x14ac:dyDescent="0.15">
      <c r="A1731" s="22">
        <v>43299</v>
      </c>
      <c r="B1731">
        <v>1.1637999999999999</v>
      </c>
    </row>
    <row r="1732" spans="1:2" x14ac:dyDescent="0.15">
      <c r="A1732" s="22">
        <v>43300</v>
      </c>
      <c r="B1732">
        <v>1.1640999999999999</v>
      </c>
    </row>
    <row r="1733" spans="1:2" x14ac:dyDescent="0.15">
      <c r="A1733" s="22">
        <v>43301</v>
      </c>
      <c r="B1733">
        <v>1.1718</v>
      </c>
    </row>
    <row r="1734" spans="1:2" x14ac:dyDescent="0.15">
      <c r="A1734" s="22">
        <v>43304</v>
      </c>
      <c r="B1734">
        <v>1.169</v>
      </c>
    </row>
    <row r="1735" spans="1:2" x14ac:dyDescent="0.15">
      <c r="A1735" s="22">
        <v>43305</v>
      </c>
      <c r="B1735">
        <v>1.1684000000000001</v>
      </c>
    </row>
    <row r="1736" spans="1:2" x14ac:dyDescent="0.15">
      <c r="A1736" s="22">
        <v>43306</v>
      </c>
      <c r="B1736">
        <v>1.1728000000000001</v>
      </c>
    </row>
    <row r="1737" spans="1:2" x14ac:dyDescent="0.15">
      <c r="A1737" s="22">
        <v>43307</v>
      </c>
      <c r="B1737">
        <v>1.1640999999999999</v>
      </c>
    </row>
    <row r="1738" spans="1:2" x14ac:dyDescent="0.15">
      <c r="A1738" s="22">
        <v>43308</v>
      </c>
      <c r="B1738">
        <v>1.1656</v>
      </c>
    </row>
    <row r="1739" spans="1:2" x14ac:dyDescent="0.15">
      <c r="A1739" s="22">
        <v>43311</v>
      </c>
      <c r="B1739">
        <v>1.1704000000000001</v>
      </c>
    </row>
    <row r="1740" spans="1:2" x14ac:dyDescent="0.15">
      <c r="A1740" s="22">
        <v>43312</v>
      </c>
      <c r="B1740">
        <v>1.1691</v>
      </c>
    </row>
    <row r="1741" spans="1:2" x14ac:dyDescent="0.15">
      <c r="A1741" s="22">
        <v>43313</v>
      </c>
      <c r="B1741">
        <v>1.1657999999999999</v>
      </c>
    </row>
    <row r="1742" spans="1:2" x14ac:dyDescent="0.15">
      <c r="A1742" s="22">
        <v>43314</v>
      </c>
      <c r="B1742">
        <v>1.1581999999999999</v>
      </c>
    </row>
    <row r="1743" spans="1:2" x14ac:dyDescent="0.15">
      <c r="A1743" s="22">
        <v>43315</v>
      </c>
      <c r="B1743">
        <v>1.1567000000000001</v>
      </c>
    </row>
    <row r="1744" spans="1:2" x14ac:dyDescent="0.15">
      <c r="A1744" s="22">
        <v>43318</v>
      </c>
      <c r="B1744">
        <v>1.1553</v>
      </c>
    </row>
    <row r="1745" spans="1:2" x14ac:dyDescent="0.15">
      <c r="A1745" s="22">
        <v>43319</v>
      </c>
      <c r="B1745">
        <v>1.1597</v>
      </c>
    </row>
    <row r="1746" spans="1:2" x14ac:dyDescent="0.15">
      <c r="A1746" s="22">
        <v>43320</v>
      </c>
      <c r="B1746">
        <v>1.161</v>
      </c>
    </row>
    <row r="1747" spans="1:2" x14ac:dyDescent="0.15">
      <c r="A1747" s="22">
        <v>43321</v>
      </c>
      <c r="B1747">
        <v>1.1526000000000001</v>
      </c>
    </row>
    <row r="1748" spans="1:2" x14ac:dyDescent="0.15">
      <c r="A1748" s="22">
        <v>43322</v>
      </c>
      <c r="B1748">
        <v>1.141</v>
      </c>
    </row>
    <row r="1749" spans="1:2" x14ac:dyDescent="0.15">
      <c r="A1749" s="22">
        <v>43325</v>
      </c>
      <c r="B1749">
        <v>1.1408</v>
      </c>
    </row>
    <row r="1750" spans="1:2" x14ac:dyDescent="0.15">
      <c r="A1750" s="22">
        <v>43326</v>
      </c>
      <c r="B1750">
        <v>1.1342000000000001</v>
      </c>
    </row>
    <row r="1751" spans="1:2" x14ac:dyDescent="0.15">
      <c r="A1751" s="22">
        <v>43327</v>
      </c>
      <c r="B1751">
        <v>1.1343000000000001</v>
      </c>
    </row>
    <row r="1752" spans="1:2" x14ac:dyDescent="0.15">
      <c r="A1752" s="22">
        <v>43328</v>
      </c>
      <c r="B1752">
        <v>1.1375</v>
      </c>
    </row>
    <row r="1753" spans="1:2" x14ac:dyDescent="0.15">
      <c r="A1753" s="22">
        <v>43329</v>
      </c>
      <c r="B1753">
        <v>1.1436999999999999</v>
      </c>
    </row>
    <row r="1754" spans="1:2" x14ac:dyDescent="0.15">
      <c r="A1754" s="22">
        <v>43332</v>
      </c>
      <c r="B1754">
        <v>1.1478999999999999</v>
      </c>
    </row>
    <row r="1755" spans="1:2" x14ac:dyDescent="0.15">
      <c r="A1755" s="22">
        <v>43333</v>
      </c>
      <c r="B1755">
        <v>1.1569</v>
      </c>
    </row>
    <row r="1756" spans="1:2" x14ac:dyDescent="0.15">
      <c r="A1756" s="22">
        <v>43334</v>
      </c>
      <c r="B1756">
        <v>1.1596</v>
      </c>
    </row>
    <row r="1757" spans="1:2" x14ac:dyDescent="0.15">
      <c r="A1757" s="22">
        <v>43335</v>
      </c>
      <c r="B1757">
        <v>1.1536999999999999</v>
      </c>
    </row>
    <row r="1758" spans="1:2" x14ac:dyDescent="0.15">
      <c r="A1758" s="22">
        <v>43336</v>
      </c>
      <c r="B1758">
        <v>1.1620999999999999</v>
      </c>
    </row>
    <row r="1759" spans="1:2" x14ac:dyDescent="0.15">
      <c r="A1759" s="22">
        <v>43339</v>
      </c>
      <c r="B1759">
        <v>1.1677</v>
      </c>
    </row>
    <row r="1760" spans="1:2" x14ac:dyDescent="0.15">
      <c r="A1760" s="22">
        <v>43340</v>
      </c>
      <c r="B1760">
        <v>1.1693</v>
      </c>
    </row>
    <row r="1761" spans="1:2" x14ac:dyDescent="0.15">
      <c r="A1761" s="22">
        <v>43341</v>
      </c>
      <c r="B1761">
        <v>1.1706000000000001</v>
      </c>
    </row>
    <row r="1762" spans="1:2" x14ac:dyDescent="0.15">
      <c r="A1762" s="22">
        <v>43342</v>
      </c>
      <c r="B1762">
        <v>1.167</v>
      </c>
    </row>
    <row r="1763" spans="1:2" x14ac:dyDescent="0.15">
      <c r="A1763" s="22">
        <v>43343</v>
      </c>
      <c r="B1763">
        <v>1.1598999999999999</v>
      </c>
    </row>
    <row r="1764" spans="1:2" x14ac:dyDescent="0.15">
      <c r="A1764" s="22">
        <v>43346</v>
      </c>
      <c r="B1764">
        <v>1.1623000000000001</v>
      </c>
    </row>
    <row r="1765" spans="1:2" x14ac:dyDescent="0.15">
      <c r="A1765" s="22">
        <v>43347</v>
      </c>
      <c r="B1765">
        <v>1.1580999999999999</v>
      </c>
    </row>
    <row r="1766" spans="1:2" x14ac:dyDescent="0.15">
      <c r="A1766" s="22">
        <v>43348</v>
      </c>
      <c r="B1766">
        <v>1.1629</v>
      </c>
    </row>
    <row r="1767" spans="1:2" x14ac:dyDescent="0.15">
      <c r="A1767" s="22">
        <v>43349</v>
      </c>
      <c r="B1767">
        <v>1.1620999999999999</v>
      </c>
    </row>
    <row r="1768" spans="1:2" x14ac:dyDescent="0.15">
      <c r="A1768" s="22">
        <v>43350</v>
      </c>
      <c r="B1768">
        <v>1.1551</v>
      </c>
    </row>
    <row r="1769" spans="1:2" x14ac:dyDescent="0.15">
      <c r="A1769" s="22">
        <v>43353</v>
      </c>
      <c r="B1769">
        <v>1.1592</v>
      </c>
    </row>
    <row r="1770" spans="1:2" x14ac:dyDescent="0.15">
      <c r="A1770" s="22">
        <v>43354</v>
      </c>
      <c r="B1770">
        <v>1.1605000000000001</v>
      </c>
    </row>
    <row r="1771" spans="1:2" x14ac:dyDescent="0.15">
      <c r="A1771" s="22">
        <v>43355</v>
      </c>
      <c r="B1771">
        <v>1.1624000000000001</v>
      </c>
    </row>
    <row r="1772" spans="1:2" x14ac:dyDescent="0.15">
      <c r="A1772" s="22">
        <v>43356</v>
      </c>
      <c r="B1772">
        <v>1.1688000000000001</v>
      </c>
    </row>
    <row r="1773" spans="1:2" x14ac:dyDescent="0.15">
      <c r="A1773" s="22">
        <v>43357</v>
      </c>
      <c r="B1773">
        <v>1.1628000000000001</v>
      </c>
    </row>
    <row r="1774" spans="1:2" x14ac:dyDescent="0.15">
      <c r="A1774" s="22">
        <v>43360</v>
      </c>
      <c r="B1774">
        <v>1.1682999999999999</v>
      </c>
    </row>
    <row r="1775" spans="1:2" x14ac:dyDescent="0.15">
      <c r="A1775" s="22">
        <v>43361</v>
      </c>
      <c r="B1775">
        <v>1.1665000000000001</v>
      </c>
    </row>
    <row r="1776" spans="1:2" x14ac:dyDescent="0.15">
      <c r="A1776" s="22">
        <v>43362</v>
      </c>
      <c r="B1776">
        <v>1.1672</v>
      </c>
    </row>
    <row r="1777" spans="1:2" x14ac:dyDescent="0.15">
      <c r="A1777" s="22">
        <v>43363</v>
      </c>
      <c r="B1777">
        <v>1.1775</v>
      </c>
    </row>
    <row r="1778" spans="1:2" x14ac:dyDescent="0.15">
      <c r="A1778" s="22">
        <v>43364</v>
      </c>
      <c r="B1778">
        <v>1.1749000000000001</v>
      </c>
    </row>
    <row r="1779" spans="1:2" x14ac:dyDescent="0.15">
      <c r="A1779" s="22">
        <v>43367</v>
      </c>
      <c r="B1779">
        <v>1.1746000000000001</v>
      </c>
    </row>
    <row r="1780" spans="1:2" x14ac:dyDescent="0.15">
      <c r="A1780" s="22">
        <v>43368</v>
      </c>
      <c r="B1780">
        <v>1.1771</v>
      </c>
    </row>
    <row r="1781" spans="1:2" x14ac:dyDescent="0.15">
      <c r="A1781" s="22">
        <v>43369</v>
      </c>
      <c r="B1781">
        <v>1.1738</v>
      </c>
    </row>
    <row r="1782" spans="1:2" x14ac:dyDescent="0.15">
      <c r="A1782" s="22">
        <v>43370</v>
      </c>
      <c r="B1782">
        <v>1.1638999999999999</v>
      </c>
    </row>
    <row r="1783" spans="1:2" x14ac:dyDescent="0.15">
      <c r="A1783" s="22">
        <v>43371</v>
      </c>
      <c r="B1783">
        <v>1.1608000000000001</v>
      </c>
    </row>
    <row r="1784" spans="1:2" x14ac:dyDescent="0.15">
      <c r="A1784" s="22">
        <v>43374</v>
      </c>
      <c r="B1784">
        <v>1.1576</v>
      </c>
    </row>
    <row r="1785" spans="1:2" x14ac:dyDescent="0.15">
      <c r="A1785" s="22">
        <v>43375</v>
      </c>
      <c r="B1785">
        <v>1.1546000000000001</v>
      </c>
    </row>
    <row r="1786" spans="1:2" x14ac:dyDescent="0.15">
      <c r="A1786" s="22">
        <v>43376</v>
      </c>
      <c r="B1786">
        <v>1.1476</v>
      </c>
    </row>
    <row r="1787" spans="1:2" x14ac:dyDescent="0.15">
      <c r="A1787" s="22">
        <v>43377</v>
      </c>
      <c r="B1787">
        <v>1.1513</v>
      </c>
    </row>
    <row r="1788" spans="1:2" x14ac:dyDescent="0.15">
      <c r="A1788" s="22">
        <v>43378</v>
      </c>
      <c r="B1788">
        <v>1.1523000000000001</v>
      </c>
    </row>
    <row r="1789" spans="1:2" x14ac:dyDescent="0.15">
      <c r="A1789" s="22">
        <v>43381</v>
      </c>
      <c r="B1789">
        <v>1.149</v>
      </c>
    </row>
    <row r="1790" spans="1:2" x14ac:dyDescent="0.15">
      <c r="A1790" s="22">
        <v>43382</v>
      </c>
      <c r="B1790">
        <v>1.1489</v>
      </c>
    </row>
    <row r="1791" spans="1:2" x14ac:dyDescent="0.15">
      <c r="A1791" s="22">
        <v>43383</v>
      </c>
      <c r="B1791">
        <v>1.1517999999999999</v>
      </c>
    </row>
    <row r="1792" spans="1:2" x14ac:dyDescent="0.15">
      <c r="A1792" s="22">
        <v>43384</v>
      </c>
      <c r="B1792">
        <v>1.1593</v>
      </c>
    </row>
    <row r="1793" spans="1:2" x14ac:dyDescent="0.15">
      <c r="A1793" s="22">
        <v>43385</v>
      </c>
      <c r="B1793">
        <v>1.1561999999999999</v>
      </c>
    </row>
    <row r="1794" spans="1:2" x14ac:dyDescent="0.15">
      <c r="A1794" s="22">
        <v>43388</v>
      </c>
      <c r="B1794">
        <v>1.1577</v>
      </c>
    </row>
    <row r="1795" spans="1:2" x14ac:dyDescent="0.15">
      <c r="A1795" s="22">
        <v>43389</v>
      </c>
      <c r="B1795">
        <v>1.1573</v>
      </c>
    </row>
    <row r="1796" spans="1:2" x14ac:dyDescent="0.15">
      <c r="A1796" s="22">
        <v>43390</v>
      </c>
      <c r="B1796">
        <v>1.1498999999999999</v>
      </c>
    </row>
    <row r="1797" spans="1:2" x14ac:dyDescent="0.15">
      <c r="A1797" s="22">
        <v>43391</v>
      </c>
      <c r="B1797">
        <v>1.1452</v>
      </c>
    </row>
    <row r="1798" spans="1:2" x14ac:dyDescent="0.15">
      <c r="A1798" s="22">
        <v>43392</v>
      </c>
      <c r="B1798">
        <v>1.1513</v>
      </c>
    </row>
    <row r="1799" spans="1:2" x14ac:dyDescent="0.15">
      <c r="A1799" s="22">
        <v>43395</v>
      </c>
      <c r="B1799">
        <v>1.1463000000000001</v>
      </c>
    </row>
    <row r="1800" spans="1:2" x14ac:dyDescent="0.15">
      <c r="A1800" s="22">
        <v>43396</v>
      </c>
      <c r="B1800">
        <v>1.1469</v>
      </c>
    </row>
    <row r="1801" spans="1:2" x14ac:dyDescent="0.15">
      <c r="A1801" s="22">
        <v>43397</v>
      </c>
      <c r="B1801">
        <v>1.1391</v>
      </c>
    </row>
    <row r="1802" spans="1:2" x14ac:dyDescent="0.15">
      <c r="A1802" s="22">
        <v>43398</v>
      </c>
      <c r="B1802">
        <v>1.1374</v>
      </c>
    </row>
    <row r="1803" spans="1:2" x14ac:dyDescent="0.15">
      <c r="A1803" s="22">
        <v>43399</v>
      </c>
      <c r="B1803">
        <v>1.1400999999999999</v>
      </c>
    </row>
    <row r="1804" spans="1:2" x14ac:dyDescent="0.15">
      <c r="A1804" s="22">
        <v>43402</v>
      </c>
      <c r="B1804">
        <v>1.1371</v>
      </c>
    </row>
    <row r="1805" spans="1:2" x14ac:dyDescent="0.15">
      <c r="A1805" s="22">
        <v>43403</v>
      </c>
      <c r="B1805">
        <v>1.1344000000000001</v>
      </c>
    </row>
    <row r="1806" spans="1:2" x14ac:dyDescent="0.15">
      <c r="A1806" s="22">
        <v>43404</v>
      </c>
      <c r="B1806">
        <v>1.131</v>
      </c>
    </row>
    <row r="1807" spans="1:2" x14ac:dyDescent="0.15">
      <c r="A1807" s="22">
        <v>43405</v>
      </c>
      <c r="B1807">
        <v>1.1407</v>
      </c>
    </row>
    <row r="1808" spans="1:2" x14ac:dyDescent="0.15">
      <c r="A1808" s="22">
        <v>43406</v>
      </c>
      <c r="B1808">
        <v>1.1385000000000001</v>
      </c>
    </row>
    <row r="1809" spans="1:2" x14ac:dyDescent="0.15">
      <c r="A1809" s="22">
        <v>43409</v>
      </c>
      <c r="B1809">
        <v>1.1406000000000001</v>
      </c>
    </row>
    <row r="1810" spans="1:2" x14ac:dyDescent="0.15">
      <c r="A1810" s="22">
        <v>43410</v>
      </c>
      <c r="B1810">
        <v>1.1426000000000001</v>
      </c>
    </row>
    <row r="1811" spans="1:2" x14ac:dyDescent="0.15">
      <c r="A1811" s="22">
        <v>43411</v>
      </c>
      <c r="B1811">
        <v>1.1424000000000001</v>
      </c>
    </row>
    <row r="1812" spans="1:2" x14ac:dyDescent="0.15">
      <c r="A1812" s="22">
        <v>43412</v>
      </c>
      <c r="B1812">
        <v>1.1362000000000001</v>
      </c>
    </row>
    <row r="1813" spans="1:2" x14ac:dyDescent="0.15">
      <c r="A1813" s="22">
        <v>43413</v>
      </c>
      <c r="B1813">
        <v>1.1334</v>
      </c>
    </row>
    <row r="1814" spans="1:2" x14ac:dyDescent="0.15">
      <c r="A1814" s="22">
        <v>43416</v>
      </c>
      <c r="B1814">
        <v>1.1216999999999999</v>
      </c>
    </row>
    <row r="1815" spans="1:2" x14ac:dyDescent="0.15">
      <c r="A1815" s="22">
        <v>43417</v>
      </c>
      <c r="B1815">
        <v>1.1289</v>
      </c>
    </row>
    <row r="1816" spans="1:2" x14ac:dyDescent="0.15">
      <c r="A1816" s="22">
        <v>43418</v>
      </c>
      <c r="B1816">
        <v>1.1308</v>
      </c>
    </row>
    <row r="1817" spans="1:2" x14ac:dyDescent="0.15">
      <c r="A1817" s="22">
        <v>43419</v>
      </c>
      <c r="B1817">
        <v>1.1326000000000001</v>
      </c>
    </row>
    <row r="1818" spans="1:2" x14ac:dyDescent="0.15">
      <c r="A1818" s="22">
        <v>43420</v>
      </c>
      <c r="B1818">
        <v>1.1417999999999999</v>
      </c>
    </row>
    <row r="1819" spans="1:2" x14ac:dyDescent="0.15">
      <c r="A1819" s="22">
        <v>43423</v>
      </c>
      <c r="B1819">
        <v>1.1451</v>
      </c>
    </row>
    <row r="1820" spans="1:2" x14ac:dyDescent="0.15">
      <c r="A1820" s="22">
        <v>43424</v>
      </c>
      <c r="B1820">
        <v>1.137</v>
      </c>
    </row>
    <row r="1821" spans="1:2" x14ac:dyDescent="0.15">
      <c r="A1821" s="22">
        <v>43425</v>
      </c>
      <c r="B1821">
        <v>1.1383000000000001</v>
      </c>
    </row>
    <row r="1822" spans="1:2" x14ac:dyDescent="0.15">
      <c r="A1822" s="22">
        <v>43426</v>
      </c>
      <c r="B1822">
        <v>1.1407</v>
      </c>
    </row>
    <row r="1823" spans="1:2" x14ac:dyDescent="0.15">
      <c r="A1823" s="22">
        <v>43427</v>
      </c>
      <c r="B1823">
        <v>1.1339999999999999</v>
      </c>
    </row>
    <row r="1824" spans="1:2" x14ac:dyDescent="0.15">
      <c r="A1824" s="22">
        <v>43430</v>
      </c>
      <c r="B1824">
        <v>1.1326000000000001</v>
      </c>
    </row>
    <row r="1825" spans="1:2" x14ac:dyDescent="0.15">
      <c r="A1825" s="22">
        <v>43431</v>
      </c>
      <c r="B1825">
        <v>1.1288</v>
      </c>
    </row>
    <row r="1826" spans="1:2" x14ac:dyDescent="0.15">
      <c r="A1826" s="22">
        <v>43432</v>
      </c>
      <c r="B1826">
        <v>1.1366000000000001</v>
      </c>
    </row>
    <row r="1827" spans="1:2" x14ac:dyDescent="0.15">
      <c r="A1827" s="22">
        <v>43433</v>
      </c>
      <c r="B1827">
        <v>1.1391</v>
      </c>
    </row>
    <row r="1828" spans="1:2" x14ac:dyDescent="0.15">
      <c r="A1828" s="22">
        <v>43434</v>
      </c>
      <c r="B1828">
        <v>1.1315</v>
      </c>
    </row>
    <row r="1829" spans="1:2" x14ac:dyDescent="0.15">
      <c r="A1829" s="22">
        <v>43437</v>
      </c>
      <c r="B1829">
        <v>1.1352</v>
      </c>
    </row>
    <row r="1830" spans="1:2" x14ac:dyDescent="0.15">
      <c r="A1830" s="22">
        <v>43438</v>
      </c>
      <c r="B1830">
        <v>1.1344000000000001</v>
      </c>
    </row>
    <row r="1831" spans="1:2" x14ac:dyDescent="0.15">
      <c r="A1831" s="22">
        <v>43439</v>
      </c>
      <c r="B1831">
        <v>1.1344000000000001</v>
      </c>
    </row>
    <row r="1832" spans="1:2" x14ac:dyDescent="0.15">
      <c r="A1832" s="22">
        <v>43440</v>
      </c>
      <c r="B1832">
        <v>1.1374</v>
      </c>
    </row>
    <row r="1833" spans="1:2" x14ac:dyDescent="0.15">
      <c r="A1833" s="22">
        <v>43441</v>
      </c>
      <c r="B1833">
        <v>1.1375999999999999</v>
      </c>
    </row>
    <row r="1834" spans="1:2" x14ac:dyDescent="0.15">
      <c r="A1834" s="22">
        <v>43444</v>
      </c>
      <c r="B1834">
        <v>1.1355</v>
      </c>
    </row>
    <row r="1835" spans="1:2" x14ac:dyDescent="0.15">
      <c r="A1835" s="22">
        <v>43445</v>
      </c>
      <c r="B1835">
        <v>1.1314</v>
      </c>
    </row>
    <row r="1836" spans="1:2" x14ac:dyDescent="0.15">
      <c r="A1836" s="22">
        <v>43446</v>
      </c>
      <c r="B1836">
        <v>1.1368</v>
      </c>
    </row>
    <row r="1837" spans="1:2" x14ac:dyDescent="0.15">
      <c r="A1837" s="22">
        <v>43447</v>
      </c>
      <c r="B1837">
        <v>1.1361000000000001</v>
      </c>
    </row>
    <row r="1838" spans="1:2" x14ac:dyDescent="0.15">
      <c r="A1838" s="22">
        <v>43448</v>
      </c>
      <c r="B1838">
        <v>1.1307</v>
      </c>
    </row>
    <row r="1839" spans="1:2" x14ac:dyDescent="0.15">
      <c r="A1839" s="22">
        <v>43451</v>
      </c>
      <c r="B1839">
        <v>1.1346000000000001</v>
      </c>
    </row>
    <row r="1840" spans="1:2" x14ac:dyDescent="0.15">
      <c r="A1840" s="22">
        <v>43452</v>
      </c>
      <c r="B1840">
        <v>1.1361000000000001</v>
      </c>
    </row>
    <row r="1841" spans="1:2" x14ac:dyDescent="0.15">
      <c r="A1841" s="22">
        <v>43453</v>
      </c>
      <c r="B1841">
        <v>1.1375</v>
      </c>
    </row>
    <row r="1842" spans="1:2" x14ac:dyDescent="0.15">
      <c r="A1842" s="22">
        <v>43454</v>
      </c>
      <c r="B1842">
        <v>1.1444000000000001</v>
      </c>
    </row>
    <row r="1843" spans="1:2" x14ac:dyDescent="0.15">
      <c r="A1843" s="22">
        <v>43455</v>
      </c>
      <c r="B1843">
        <v>1.1367</v>
      </c>
    </row>
    <row r="1844" spans="1:2" x14ac:dyDescent="0.15">
      <c r="A1844" s="22">
        <v>43458</v>
      </c>
      <c r="B1844">
        <v>1.1398999999999999</v>
      </c>
    </row>
    <row r="1845" spans="1:2" x14ac:dyDescent="0.15">
      <c r="A1845" s="22">
        <v>43459</v>
      </c>
      <c r="B1845">
        <v>1.1361000000000001</v>
      </c>
    </row>
    <row r="1846" spans="1:2" x14ac:dyDescent="0.15">
      <c r="A1846" s="22">
        <v>43460</v>
      </c>
      <c r="B1846">
        <v>1.1351</v>
      </c>
    </row>
    <row r="1847" spans="1:2" x14ac:dyDescent="0.15">
      <c r="A1847" s="22">
        <v>43461</v>
      </c>
      <c r="B1847">
        <v>1.1429</v>
      </c>
    </row>
    <row r="1848" spans="1:2" x14ac:dyDescent="0.15">
      <c r="A1848" s="22">
        <v>43462</v>
      </c>
      <c r="B1848">
        <v>1.1435999999999999</v>
      </c>
    </row>
    <row r="1849" spans="1:2" x14ac:dyDescent="0.15">
      <c r="A1849" s="22">
        <v>43465</v>
      </c>
      <c r="B1849">
        <v>1.1469</v>
      </c>
    </row>
    <row r="1850" spans="1:2" x14ac:dyDescent="0.15">
      <c r="A1850" s="22">
        <v>43466</v>
      </c>
      <c r="B1850">
        <v>1.1462000000000001</v>
      </c>
    </row>
    <row r="1851" spans="1:2" x14ac:dyDescent="0.15">
      <c r="A1851" s="22">
        <v>43467</v>
      </c>
      <c r="B1851">
        <v>1.1342000000000001</v>
      </c>
    </row>
    <row r="1852" spans="1:2" x14ac:dyDescent="0.15">
      <c r="A1852" s="22">
        <v>43468</v>
      </c>
      <c r="B1852">
        <v>1.1392</v>
      </c>
    </row>
    <row r="1853" spans="1:2" x14ac:dyDescent="0.15">
      <c r="A1853" s="22">
        <v>43469</v>
      </c>
      <c r="B1853">
        <v>1.1393</v>
      </c>
    </row>
    <row r="1854" spans="1:2" x14ac:dyDescent="0.15">
      <c r="A1854" s="22">
        <v>43472</v>
      </c>
      <c r="B1854">
        <v>1.1474</v>
      </c>
    </row>
    <row r="1855" spans="1:2" x14ac:dyDescent="0.15">
      <c r="A1855" s="22">
        <v>43473</v>
      </c>
      <c r="B1855">
        <v>1.1439999999999999</v>
      </c>
    </row>
    <row r="1856" spans="1:2" x14ac:dyDescent="0.15">
      <c r="A1856" s="22">
        <v>43474</v>
      </c>
      <c r="B1856">
        <v>1.1540999999999999</v>
      </c>
    </row>
    <row r="1857" spans="1:2" x14ac:dyDescent="0.15">
      <c r="A1857" s="22">
        <v>43475</v>
      </c>
      <c r="B1857">
        <v>1.1497999999999999</v>
      </c>
    </row>
    <row r="1858" spans="1:2" x14ac:dyDescent="0.15">
      <c r="A1858" s="22">
        <v>43476</v>
      </c>
      <c r="B1858">
        <v>1.1467000000000001</v>
      </c>
    </row>
    <row r="1859" spans="1:2" x14ac:dyDescent="0.15">
      <c r="A1859" s="22">
        <v>43479</v>
      </c>
      <c r="B1859">
        <v>1.1474</v>
      </c>
    </row>
    <row r="1860" spans="1:2" x14ac:dyDescent="0.15">
      <c r="A1860" s="22">
        <v>43480</v>
      </c>
      <c r="B1860">
        <v>1.1414</v>
      </c>
    </row>
    <row r="1861" spans="1:2" x14ac:dyDescent="0.15">
      <c r="A1861" s="22">
        <v>43481</v>
      </c>
      <c r="B1861">
        <v>1.1396999999999999</v>
      </c>
    </row>
    <row r="1862" spans="1:2" x14ac:dyDescent="0.15">
      <c r="A1862" s="22">
        <v>43482</v>
      </c>
      <c r="B1862">
        <v>1.1395</v>
      </c>
    </row>
    <row r="1863" spans="1:2" x14ac:dyDescent="0.15">
      <c r="A1863" s="22">
        <v>43483</v>
      </c>
      <c r="B1863">
        <v>1.1361000000000001</v>
      </c>
    </row>
    <row r="1864" spans="1:2" x14ac:dyDescent="0.15">
      <c r="A1864" s="22">
        <v>43486</v>
      </c>
      <c r="B1864">
        <v>1.1364000000000001</v>
      </c>
    </row>
    <row r="1865" spans="1:2" x14ac:dyDescent="0.15">
      <c r="A1865" s="22">
        <v>43487</v>
      </c>
      <c r="B1865">
        <v>1.1357999999999999</v>
      </c>
    </row>
    <row r="1866" spans="1:2" x14ac:dyDescent="0.15">
      <c r="A1866" s="22">
        <v>43488</v>
      </c>
      <c r="B1866">
        <v>1.1379999999999999</v>
      </c>
    </row>
    <row r="1867" spans="1:2" x14ac:dyDescent="0.15">
      <c r="A1867" s="22">
        <v>43489</v>
      </c>
      <c r="B1867">
        <v>1.1305000000000001</v>
      </c>
    </row>
    <row r="1868" spans="1:2" x14ac:dyDescent="0.15">
      <c r="A1868" s="22">
        <v>43490</v>
      </c>
      <c r="B1868">
        <v>1.1412</v>
      </c>
    </row>
    <row r="1869" spans="1:2" x14ac:dyDescent="0.15">
      <c r="A1869" s="22">
        <v>43493</v>
      </c>
      <c r="B1869">
        <v>1.1433</v>
      </c>
    </row>
    <row r="1870" spans="1:2" x14ac:dyDescent="0.15">
      <c r="A1870" s="22">
        <v>43494</v>
      </c>
      <c r="B1870">
        <v>1.143</v>
      </c>
    </row>
    <row r="1871" spans="1:2" x14ac:dyDescent="0.15">
      <c r="A1871" s="22">
        <v>43495</v>
      </c>
      <c r="B1871">
        <v>1.1476999999999999</v>
      </c>
    </row>
    <row r="1872" spans="1:2" x14ac:dyDescent="0.15">
      <c r="A1872" s="22">
        <v>43496</v>
      </c>
      <c r="B1872">
        <v>1.1444000000000001</v>
      </c>
    </row>
    <row r="1873" spans="1:2" x14ac:dyDescent="0.15">
      <c r="A1873" s="22">
        <v>43497</v>
      </c>
      <c r="B1873">
        <v>1.1454</v>
      </c>
    </row>
    <row r="1874" spans="1:2" x14ac:dyDescent="0.15">
      <c r="A1874" s="22">
        <v>43500</v>
      </c>
      <c r="B1874">
        <v>1.1435</v>
      </c>
    </row>
    <row r="1875" spans="1:2" x14ac:dyDescent="0.15">
      <c r="A1875" s="22">
        <v>43501</v>
      </c>
      <c r="B1875">
        <v>1.1412</v>
      </c>
    </row>
    <row r="1876" spans="1:2" x14ac:dyDescent="0.15">
      <c r="A1876" s="22">
        <v>43502</v>
      </c>
      <c r="B1876">
        <v>1.1359999999999999</v>
      </c>
    </row>
    <row r="1877" spans="1:2" x14ac:dyDescent="0.15">
      <c r="A1877" s="22">
        <v>43503</v>
      </c>
      <c r="B1877">
        <v>1.1339999999999999</v>
      </c>
    </row>
    <row r="1878" spans="1:2" x14ac:dyDescent="0.15">
      <c r="A1878" s="22">
        <v>43504</v>
      </c>
      <c r="B1878">
        <v>1.1328</v>
      </c>
    </row>
    <row r="1879" spans="1:2" x14ac:dyDescent="0.15">
      <c r="A1879" s="22">
        <v>43507</v>
      </c>
      <c r="B1879">
        <v>1.1274999999999999</v>
      </c>
    </row>
    <row r="1880" spans="1:2" x14ac:dyDescent="0.15">
      <c r="A1880" s="22">
        <v>43508</v>
      </c>
      <c r="B1880">
        <v>1.1324000000000001</v>
      </c>
    </row>
    <row r="1881" spans="1:2" x14ac:dyDescent="0.15">
      <c r="A1881" s="22">
        <v>43509</v>
      </c>
      <c r="B1881">
        <v>1.1265000000000001</v>
      </c>
    </row>
    <row r="1882" spans="1:2" x14ac:dyDescent="0.15">
      <c r="A1882" s="22">
        <v>43510</v>
      </c>
      <c r="B1882">
        <v>1.1298999999999999</v>
      </c>
    </row>
    <row r="1883" spans="1:2" x14ac:dyDescent="0.15">
      <c r="A1883" s="22">
        <v>43511</v>
      </c>
      <c r="B1883">
        <v>1.1293</v>
      </c>
    </row>
    <row r="1884" spans="1:2" x14ac:dyDescent="0.15">
      <c r="A1884" s="22">
        <v>43514</v>
      </c>
      <c r="B1884">
        <v>1.1308</v>
      </c>
    </row>
    <row r="1885" spans="1:2" x14ac:dyDescent="0.15">
      <c r="A1885" s="22">
        <v>43515</v>
      </c>
      <c r="B1885">
        <v>1.1339999999999999</v>
      </c>
    </row>
    <row r="1886" spans="1:2" x14ac:dyDescent="0.15">
      <c r="A1886" s="22">
        <v>43516</v>
      </c>
      <c r="B1886">
        <v>1.1335</v>
      </c>
    </row>
    <row r="1887" spans="1:2" x14ac:dyDescent="0.15">
      <c r="A1887" s="22">
        <v>43517</v>
      </c>
      <c r="B1887">
        <v>1.1334</v>
      </c>
    </row>
    <row r="1888" spans="1:2" x14ac:dyDescent="0.15">
      <c r="A1888" s="22">
        <v>43518</v>
      </c>
      <c r="B1888">
        <v>1.1341000000000001</v>
      </c>
    </row>
    <row r="1889" spans="1:2" x14ac:dyDescent="0.15">
      <c r="A1889" s="22">
        <v>43521</v>
      </c>
      <c r="B1889">
        <v>1.1357999999999999</v>
      </c>
    </row>
    <row r="1890" spans="1:2" x14ac:dyDescent="0.15">
      <c r="A1890" s="22">
        <v>43522</v>
      </c>
      <c r="B1890">
        <v>1.1385000000000001</v>
      </c>
    </row>
    <row r="1891" spans="1:2" x14ac:dyDescent="0.15">
      <c r="A1891" s="22">
        <v>43523</v>
      </c>
      <c r="B1891">
        <v>1.1369</v>
      </c>
    </row>
    <row r="1892" spans="1:2" x14ac:dyDescent="0.15">
      <c r="A1892" s="22">
        <v>43524</v>
      </c>
      <c r="B1892">
        <v>1.137</v>
      </c>
    </row>
    <row r="1893" spans="1:2" x14ac:dyDescent="0.15">
      <c r="A1893" s="22">
        <v>43525</v>
      </c>
      <c r="B1893">
        <v>1.1374</v>
      </c>
    </row>
    <row r="1894" spans="1:2" x14ac:dyDescent="0.15">
      <c r="A1894" s="22">
        <v>43528</v>
      </c>
      <c r="B1894">
        <v>1.1336999999999999</v>
      </c>
    </row>
    <row r="1895" spans="1:2" x14ac:dyDescent="0.15">
      <c r="A1895" s="22">
        <v>43529</v>
      </c>
      <c r="B1895">
        <v>1.1306</v>
      </c>
    </row>
    <row r="1896" spans="1:2" x14ac:dyDescent="0.15">
      <c r="A1896" s="22">
        <v>43530</v>
      </c>
      <c r="B1896">
        <v>1.1305000000000001</v>
      </c>
    </row>
    <row r="1897" spans="1:2" x14ac:dyDescent="0.15">
      <c r="A1897" s="22">
        <v>43531</v>
      </c>
      <c r="B1897">
        <v>1.1192</v>
      </c>
    </row>
    <row r="1898" spans="1:2" x14ac:dyDescent="0.15">
      <c r="A1898" s="22">
        <v>43532</v>
      </c>
      <c r="B1898">
        <v>1.1237999999999999</v>
      </c>
    </row>
    <row r="1899" spans="1:2" x14ac:dyDescent="0.15">
      <c r="A1899" s="22">
        <v>43535</v>
      </c>
      <c r="B1899">
        <v>1.1247</v>
      </c>
    </row>
    <row r="1900" spans="1:2" x14ac:dyDescent="0.15">
      <c r="A1900" s="22">
        <v>43536</v>
      </c>
      <c r="B1900">
        <v>1.1286</v>
      </c>
    </row>
    <row r="1901" spans="1:2" x14ac:dyDescent="0.15">
      <c r="A1901" s="22">
        <v>43537</v>
      </c>
      <c r="B1901">
        <v>1.1325000000000001</v>
      </c>
    </row>
    <row r="1902" spans="1:2" x14ac:dyDescent="0.15">
      <c r="A1902" s="22">
        <v>43538</v>
      </c>
      <c r="B1902">
        <v>1.1302000000000001</v>
      </c>
    </row>
    <row r="1903" spans="1:2" x14ac:dyDescent="0.15">
      <c r="A1903" s="22">
        <v>43539</v>
      </c>
      <c r="B1903">
        <v>1.1325000000000001</v>
      </c>
    </row>
    <row r="1904" spans="1:2" x14ac:dyDescent="0.15">
      <c r="A1904" s="22">
        <v>43542</v>
      </c>
      <c r="B1904">
        <v>1.1335999999999999</v>
      </c>
    </row>
    <row r="1905" spans="1:2" x14ac:dyDescent="0.15">
      <c r="A1905" s="22">
        <v>43543</v>
      </c>
      <c r="B1905">
        <v>1.1349</v>
      </c>
    </row>
    <row r="1906" spans="1:2" x14ac:dyDescent="0.15">
      <c r="A1906" s="22">
        <v>43544</v>
      </c>
      <c r="B1906">
        <v>1.1411</v>
      </c>
    </row>
    <row r="1907" spans="1:2" x14ac:dyDescent="0.15">
      <c r="A1907" s="22">
        <v>43545</v>
      </c>
      <c r="B1907">
        <v>1.1373</v>
      </c>
    </row>
    <row r="1908" spans="1:2" x14ac:dyDescent="0.15">
      <c r="A1908" s="22">
        <v>43546</v>
      </c>
      <c r="B1908">
        <v>1.1313</v>
      </c>
    </row>
    <row r="1909" spans="1:2" x14ac:dyDescent="0.15">
      <c r="A1909" s="22">
        <v>43549</v>
      </c>
      <c r="B1909">
        <v>1.1311</v>
      </c>
    </row>
    <row r="1910" spans="1:2" x14ac:dyDescent="0.15">
      <c r="A1910" s="22">
        <v>43550</v>
      </c>
      <c r="B1910">
        <v>1.1264000000000001</v>
      </c>
    </row>
    <row r="1911" spans="1:2" x14ac:dyDescent="0.15">
      <c r="A1911" s="22">
        <v>43551</v>
      </c>
      <c r="B1911">
        <v>1.1247</v>
      </c>
    </row>
    <row r="1912" spans="1:2" x14ac:dyDescent="0.15">
      <c r="A1912" s="22">
        <v>43552</v>
      </c>
      <c r="B1912">
        <v>1.1220000000000001</v>
      </c>
    </row>
    <row r="1913" spans="1:2" x14ac:dyDescent="0.15">
      <c r="A1913" s="22">
        <v>43553</v>
      </c>
      <c r="B1913">
        <v>1.1216999999999999</v>
      </c>
    </row>
    <row r="1914" spans="1:2" x14ac:dyDescent="0.15">
      <c r="A1914" s="22">
        <v>43556</v>
      </c>
      <c r="B1914">
        <v>1.1212</v>
      </c>
    </row>
    <row r="1915" spans="1:2" x14ac:dyDescent="0.15">
      <c r="A1915" s="22">
        <v>43557</v>
      </c>
      <c r="B1915">
        <v>1.1202000000000001</v>
      </c>
    </row>
    <row r="1916" spans="1:2" x14ac:dyDescent="0.15">
      <c r="A1916" s="22">
        <v>43558</v>
      </c>
      <c r="B1916">
        <v>1.1234</v>
      </c>
    </row>
    <row r="1917" spans="1:2" x14ac:dyDescent="0.15">
      <c r="A1917" s="22">
        <v>43559</v>
      </c>
      <c r="B1917">
        <v>1.1220000000000001</v>
      </c>
    </row>
    <row r="1918" spans="1:2" x14ac:dyDescent="0.15">
      <c r="A1918" s="22">
        <v>43560</v>
      </c>
      <c r="B1918">
        <v>1.1214</v>
      </c>
    </row>
    <row r="1919" spans="1:2" x14ac:dyDescent="0.15">
      <c r="A1919" s="22">
        <v>43563</v>
      </c>
      <c r="B1919">
        <v>1.1258999999999999</v>
      </c>
    </row>
    <row r="1920" spans="1:2" x14ac:dyDescent="0.15">
      <c r="A1920" s="22">
        <v>43564</v>
      </c>
      <c r="B1920">
        <v>1.1261000000000001</v>
      </c>
    </row>
    <row r="1921" spans="1:2" x14ac:dyDescent="0.15">
      <c r="A1921" s="22">
        <v>43565</v>
      </c>
      <c r="B1921">
        <v>1.1273</v>
      </c>
    </row>
    <row r="1922" spans="1:2" x14ac:dyDescent="0.15">
      <c r="A1922" s="22">
        <v>43566</v>
      </c>
      <c r="B1922">
        <v>1.125</v>
      </c>
    </row>
    <row r="1923" spans="1:2" x14ac:dyDescent="0.15">
      <c r="A1923" s="22">
        <v>43567</v>
      </c>
      <c r="B1923">
        <v>1.1299999999999999</v>
      </c>
    </row>
    <row r="1924" spans="1:2" x14ac:dyDescent="0.15">
      <c r="A1924" s="22">
        <v>43570</v>
      </c>
      <c r="B1924">
        <v>1.1307</v>
      </c>
    </row>
    <row r="1925" spans="1:2" x14ac:dyDescent="0.15">
      <c r="A1925" s="22">
        <v>43571</v>
      </c>
      <c r="B1925">
        <v>1.1279999999999999</v>
      </c>
    </row>
    <row r="1926" spans="1:2" x14ac:dyDescent="0.15">
      <c r="A1926" s="22">
        <v>43572</v>
      </c>
      <c r="B1926">
        <v>1.1294</v>
      </c>
    </row>
    <row r="1927" spans="1:2" x14ac:dyDescent="0.15">
      <c r="A1927" s="22">
        <v>43573</v>
      </c>
      <c r="B1927">
        <v>1.1229</v>
      </c>
    </row>
    <row r="1928" spans="1:2" x14ac:dyDescent="0.15">
      <c r="A1928" s="22">
        <v>43574</v>
      </c>
      <c r="B1928">
        <v>1.1246</v>
      </c>
    </row>
    <row r="1929" spans="1:2" x14ac:dyDescent="0.15">
      <c r="A1929" s="22">
        <v>43577</v>
      </c>
      <c r="B1929">
        <v>1.1254999999999999</v>
      </c>
    </row>
    <row r="1930" spans="1:2" x14ac:dyDescent="0.15">
      <c r="A1930" s="22">
        <v>43578</v>
      </c>
      <c r="B1930">
        <v>1.1225000000000001</v>
      </c>
    </row>
    <row r="1931" spans="1:2" x14ac:dyDescent="0.15">
      <c r="A1931" s="22">
        <v>43579</v>
      </c>
      <c r="B1931">
        <v>1.1152</v>
      </c>
    </row>
    <row r="1932" spans="1:2" x14ac:dyDescent="0.15">
      <c r="A1932" s="22">
        <v>43580</v>
      </c>
      <c r="B1932">
        <v>1.113</v>
      </c>
    </row>
    <row r="1933" spans="1:2" x14ac:dyDescent="0.15">
      <c r="A1933" s="22">
        <v>43581</v>
      </c>
      <c r="B1933">
        <v>1.1148</v>
      </c>
    </row>
    <row r="1934" spans="1:2" x14ac:dyDescent="0.15">
      <c r="A1934" s="22">
        <v>43584</v>
      </c>
      <c r="B1934">
        <v>1.1185</v>
      </c>
    </row>
    <row r="1935" spans="1:2" x14ac:dyDescent="0.15">
      <c r="A1935" s="22">
        <v>43585</v>
      </c>
      <c r="B1935">
        <v>1.1214999999999999</v>
      </c>
    </row>
    <row r="1936" spans="1:2" x14ac:dyDescent="0.15">
      <c r="A1936" s="22">
        <v>43586</v>
      </c>
      <c r="B1936">
        <v>1.1194</v>
      </c>
    </row>
    <row r="1937" spans="1:2" x14ac:dyDescent="0.15">
      <c r="A1937" s="22">
        <v>43587</v>
      </c>
      <c r="B1937">
        <v>1.1175999999999999</v>
      </c>
    </row>
    <row r="1938" spans="1:2" x14ac:dyDescent="0.15">
      <c r="A1938" s="22">
        <v>43588</v>
      </c>
      <c r="B1938">
        <v>1.1200000000000001</v>
      </c>
    </row>
    <row r="1939" spans="1:2" x14ac:dyDescent="0.15">
      <c r="A1939" s="22">
        <v>43591</v>
      </c>
      <c r="B1939">
        <v>1.1196999999999999</v>
      </c>
    </row>
    <row r="1940" spans="1:2" x14ac:dyDescent="0.15">
      <c r="A1940" s="22">
        <v>43592</v>
      </c>
      <c r="B1940">
        <v>1.119</v>
      </c>
    </row>
    <row r="1941" spans="1:2" x14ac:dyDescent="0.15">
      <c r="A1941" s="22">
        <v>43593</v>
      </c>
      <c r="B1941">
        <v>1.1191</v>
      </c>
    </row>
    <row r="1942" spans="1:2" x14ac:dyDescent="0.15">
      <c r="A1942" s="22">
        <v>43594</v>
      </c>
      <c r="B1942">
        <v>1.1220000000000001</v>
      </c>
    </row>
    <row r="1943" spans="1:2" x14ac:dyDescent="0.15">
      <c r="A1943" s="22">
        <v>43595</v>
      </c>
      <c r="B1943">
        <v>1.1233</v>
      </c>
    </row>
    <row r="1944" spans="1:2" x14ac:dyDescent="0.15">
      <c r="A1944" s="22">
        <v>43598</v>
      </c>
      <c r="B1944">
        <v>1.1223000000000001</v>
      </c>
    </row>
    <row r="1945" spans="1:2" x14ac:dyDescent="0.15">
      <c r="A1945" s="22">
        <v>43599</v>
      </c>
      <c r="B1945">
        <v>1.1203000000000001</v>
      </c>
    </row>
    <row r="1946" spans="1:2" x14ac:dyDescent="0.15">
      <c r="A1946" s="22">
        <v>43600</v>
      </c>
      <c r="B1946">
        <v>1.1200000000000001</v>
      </c>
    </row>
    <row r="1947" spans="1:2" x14ac:dyDescent="0.15">
      <c r="A1947" s="22">
        <v>43601</v>
      </c>
      <c r="B1947">
        <v>1.1172</v>
      </c>
    </row>
    <row r="1948" spans="1:2" x14ac:dyDescent="0.15">
      <c r="A1948" s="22">
        <v>43602</v>
      </c>
      <c r="B1948">
        <v>1.1155999999999999</v>
      </c>
    </row>
    <row r="1949" spans="1:2" x14ac:dyDescent="0.15">
      <c r="A1949" s="22">
        <v>43605</v>
      </c>
      <c r="B1949">
        <v>1.117</v>
      </c>
    </row>
    <row r="1950" spans="1:2" x14ac:dyDescent="0.15">
      <c r="A1950" s="22">
        <v>43606</v>
      </c>
      <c r="B1950">
        <v>1.1157999999999999</v>
      </c>
    </row>
    <row r="1951" spans="1:2" x14ac:dyDescent="0.15">
      <c r="A1951" s="22">
        <v>43607</v>
      </c>
      <c r="B1951">
        <v>1.1152</v>
      </c>
    </row>
    <row r="1952" spans="1:2" x14ac:dyDescent="0.15">
      <c r="A1952" s="22">
        <v>43608</v>
      </c>
      <c r="B1952">
        <v>1.1180000000000001</v>
      </c>
    </row>
    <row r="1953" spans="1:2" x14ac:dyDescent="0.15">
      <c r="A1953" s="22">
        <v>43609</v>
      </c>
      <c r="B1953">
        <v>1.1202000000000001</v>
      </c>
    </row>
    <row r="1954" spans="1:2" x14ac:dyDescent="0.15">
      <c r="A1954" s="22">
        <v>43612</v>
      </c>
      <c r="B1954">
        <v>1.1195999999999999</v>
      </c>
    </row>
    <row r="1955" spans="1:2" x14ac:dyDescent="0.15">
      <c r="A1955" s="22">
        <v>43613</v>
      </c>
      <c r="B1955">
        <v>1.1160000000000001</v>
      </c>
    </row>
    <row r="1956" spans="1:2" x14ac:dyDescent="0.15">
      <c r="A1956" s="22">
        <v>43614</v>
      </c>
      <c r="B1956">
        <v>1.1129</v>
      </c>
    </row>
    <row r="1957" spans="1:2" x14ac:dyDescent="0.15">
      <c r="A1957" s="22">
        <v>43615</v>
      </c>
      <c r="B1957">
        <v>1.113</v>
      </c>
    </row>
    <row r="1958" spans="1:2" x14ac:dyDescent="0.15">
      <c r="A1958" s="22">
        <v>43616</v>
      </c>
      <c r="B1958">
        <v>1.1167</v>
      </c>
    </row>
    <row r="1959" spans="1:2" x14ac:dyDescent="0.15">
      <c r="A1959" s="22">
        <v>43619</v>
      </c>
      <c r="B1959">
        <v>1.1240000000000001</v>
      </c>
    </row>
    <row r="1960" spans="1:2" x14ac:dyDescent="0.15">
      <c r="A1960" s="22">
        <v>43620</v>
      </c>
      <c r="B1960">
        <v>1.1251</v>
      </c>
    </row>
    <row r="1961" spans="1:2" x14ac:dyDescent="0.15">
      <c r="A1961" s="22">
        <v>43621</v>
      </c>
      <c r="B1961">
        <v>1.1218999999999999</v>
      </c>
    </row>
    <row r="1962" spans="1:2" x14ac:dyDescent="0.15">
      <c r="A1962" s="22">
        <v>43622</v>
      </c>
      <c r="B1962">
        <v>1.1274</v>
      </c>
    </row>
    <row r="1963" spans="1:2" x14ac:dyDescent="0.15">
      <c r="A1963" s="22">
        <v>43623</v>
      </c>
      <c r="B1963">
        <v>1.1331</v>
      </c>
    </row>
    <row r="1964" spans="1:2" x14ac:dyDescent="0.15">
      <c r="A1964" s="22">
        <v>43626</v>
      </c>
      <c r="B1964">
        <v>1.1312</v>
      </c>
    </row>
    <row r="1965" spans="1:2" x14ac:dyDescent="0.15">
      <c r="A1965" s="22">
        <v>43627</v>
      </c>
      <c r="B1965">
        <v>1.1329</v>
      </c>
    </row>
    <row r="1966" spans="1:2" x14ac:dyDescent="0.15">
      <c r="A1966" s="22">
        <v>43628</v>
      </c>
      <c r="B1966">
        <v>1.1287</v>
      </c>
    </row>
    <row r="1967" spans="1:2" x14ac:dyDescent="0.15">
      <c r="A1967" s="22">
        <v>43629</v>
      </c>
      <c r="B1967">
        <v>1.1274999999999999</v>
      </c>
    </row>
    <row r="1968" spans="1:2" x14ac:dyDescent="0.15">
      <c r="A1968" s="22">
        <v>43630</v>
      </c>
      <c r="B1968">
        <v>1.1207</v>
      </c>
    </row>
    <row r="1969" spans="1:2" x14ac:dyDescent="0.15">
      <c r="A1969" s="22">
        <v>43633</v>
      </c>
      <c r="B1969">
        <v>1.1216999999999999</v>
      </c>
    </row>
    <row r="1970" spans="1:2" x14ac:dyDescent="0.15">
      <c r="A1970" s="22">
        <v>43634</v>
      </c>
      <c r="B1970">
        <v>1.1191</v>
      </c>
    </row>
    <row r="1971" spans="1:2" x14ac:dyDescent="0.15">
      <c r="A1971" s="22">
        <v>43635</v>
      </c>
      <c r="B1971">
        <v>1.1224000000000001</v>
      </c>
    </row>
    <row r="1972" spans="1:2" x14ac:dyDescent="0.15">
      <c r="A1972" s="22">
        <v>43636</v>
      </c>
      <c r="B1972">
        <v>1.1291</v>
      </c>
    </row>
    <row r="1973" spans="1:2" x14ac:dyDescent="0.15">
      <c r="A1973" s="22">
        <v>43637</v>
      </c>
      <c r="B1973">
        <v>1.1366000000000001</v>
      </c>
    </row>
    <row r="1974" spans="1:2" x14ac:dyDescent="0.15">
      <c r="A1974" s="22">
        <v>43640</v>
      </c>
      <c r="B1974">
        <v>1.1395999999999999</v>
      </c>
    </row>
    <row r="1975" spans="1:2" x14ac:dyDescent="0.15">
      <c r="A1975" s="22">
        <v>43641</v>
      </c>
      <c r="B1975">
        <v>1.1365000000000001</v>
      </c>
    </row>
    <row r="1976" spans="1:2" x14ac:dyDescent="0.15">
      <c r="A1976" s="22">
        <v>43642</v>
      </c>
      <c r="B1976">
        <v>1.1368</v>
      </c>
    </row>
    <row r="1977" spans="1:2" x14ac:dyDescent="0.15">
      <c r="A1977" s="22">
        <v>43643</v>
      </c>
      <c r="B1977">
        <v>1.1368</v>
      </c>
    </row>
    <row r="1978" spans="1:2" x14ac:dyDescent="0.15">
      <c r="A1978" s="22">
        <v>43644</v>
      </c>
      <c r="B1978">
        <v>1.1368</v>
      </c>
    </row>
    <row r="1979" spans="1:2" x14ac:dyDescent="0.15">
      <c r="A1979" s="22">
        <v>43647</v>
      </c>
      <c r="B1979">
        <v>1.1285000000000001</v>
      </c>
    </row>
    <row r="1980" spans="1:2" x14ac:dyDescent="0.15">
      <c r="A1980" s="22">
        <v>43648</v>
      </c>
      <c r="B1980">
        <v>1.1283000000000001</v>
      </c>
    </row>
    <row r="1981" spans="1:2" x14ac:dyDescent="0.15">
      <c r="A1981" s="22">
        <v>43649</v>
      </c>
      <c r="B1981">
        <v>1.1276999999999999</v>
      </c>
    </row>
    <row r="1982" spans="1:2" x14ac:dyDescent="0.15">
      <c r="A1982" s="22">
        <v>43650</v>
      </c>
      <c r="B1982">
        <v>1.1284000000000001</v>
      </c>
    </row>
    <row r="1983" spans="1:2" x14ac:dyDescent="0.15">
      <c r="A1983" s="22">
        <v>43651</v>
      </c>
      <c r="B1983">
        <v>1.1224000000000001</v>
      </c>
    </row>
    <row r="1984" spans="1:2" x14ac:dyDescent="0.15">
      <c r="A1984" s="22">
        <v>43654</v>
      </c>
      <c r="B1984">
        <v>1.1214</v>
      </c>
    </row>
    <row r="1985" spans="1:2" x14ac:dyDescent="0.15">
      <c r="A1985" s="22">
        <v>43655</v>
      </c>
      <c r="B1985">
        <v>1.1206</v>
      </c>
    </row>
    <row r="1986" spans="1:2" x14ac:dyDescent="0.15">
      <c r="A1986" s="22">
        <v>43656</v>
      </c>
      <c r="B1986">
        <v>1.1249</v>
      </c>
    </row>
    <row r="1987" spans="1:2" x14ac:dyDescent="0.15">
      <c r="A1987" s="22">
        <v>43657</v>
      </c>
      <c r="B1987">
        <v>1.1252</v>
      </c>
    </row>
    <row r="1988" spans="1:2" x14ac:dyDescent="0.15">
      <c r="A1988" s="22">
        <v>43658</v>
      </c>
      <c r="B1988">
        <v>1.1269</v>
      </c>
    </row>
    <row r="1989" spans="1:2" x14ac:dyDescent="0.15">
      <c r="A1989" s="22">
        <v>43661</v>
      </c>
      <c r="B1989">
        <v>1.1256999999999999</v>
      </c>
    </row>
    <row r="1990" spans="1:2" x14ac:dyDescent="0.15">
      <c r="A1990" s="22">
        <v>43662</v>
      </c>
      <c r="B1990">
        <v>1.1209</v>
      </c>
    </row>
    <row r="1991" spans="1:2" x14ac:dyDescent="0.15">
      <c r="A1991" s="22">
        <v>43663</v>
      </c>
      <c r="B1991">
        <v>1.1223000000000001</v>
      </c>
    </row>
    <row r="1992" spans="1:2" x14ac:dyDescent="0.15">
      <c r="A1992" s="22">
        <v>43664</v>
      </c>
      <c r="B1992">
        <v>1.1274999999999999</v>
      </c>
    </row>
    <row r="1993" spans="1:2" x14ac:dyDescent="0.15">
      <c r="A1993" s="22">
        <v>43665</v>
      </c>
      <c r="B1993">
        <v>1.1220000000000001</v>
      </c>
    </row>
    <row r="1994" spans="1:2" x14ac:dyDescent="0.15">
      <c r="A1994" s="22">
        <v>43668</v>
      </c>
      <c r="B1994">
        <v>1.1208</v>
      </c>
    </row>
    <row r="1995" spans="1:2" x14ac:dyDescent="0.15">
      <c r="A1995" s="22">
        <v>43669</v>
      </c>
      <c r="B1995">
        <v>1.1151</v>
      </c>
    </row>
    <row r="1996" spans="1:2" x14ac:dyDescent="0.15">
      <c r="A1996" s="22">
        <v>43670</v>
      </c>
      <c r="B1996">
        <v>1.1138999999999999</v>
      </c>
    </row>
    <row r="1997" spans="1:2" x14ac:dyDescent="0.15">
      <c r="A1997" s="22">
        <v>43671</v>
      </c>
      <c r="B1997">
        <v>1.1145</v>
      </c>
    </row>
    <row r="1998" spans="1:2" x14ac:dyDescent="0.15">
      <c r="A1998" s="22">
        <v>43672</v>
      </c>
      <c r="B1998">
        <v>1.1125</v>
      </c>
    </row>
    <row r="1999" spans="1:2" x14ac:dyDescent="0.15">
      <c r="A1999" s="22">
        <v>43675</v>
      </c>
      <c r="B1999">
        <v>1.1144000000000001</v>
      </c>
    </row>
    <row r="2000" spans="1:2" x14ac:dyDescent="0.15">
      <c r="A2000" s="22">
        <v>43676</v>
      </c>
      <c r="B2000">
        <v>1.1153</v>
      </c>
    </row>
    <row r="2001" spans="1:2" x14ac:dyDescent="0.15">
      <c r="A2001" s="22">
        <v>43677</v>
      </c>
      <c r="B2001">
        <v>1.1073999999999999</v>
      </c>
    </row>
    <row r="2002" spans="1:2" x14ac:dyDescent="0.15">
      <c r="A2002" s="22">
        <v>43678</v>
      </c>
      <c r="B2002">
        <v>1.1083000000000001</v>
      </c>
    </row>
    <row r="2003" spans="1:2" x14ac:dyDescent="0.15">
      <c r="A2003" s="22">
        <v>43679</v>
      </c>
      <c r="B2003">
        <v>1.1107</v>
      </c>
    </row>
    <row r="2004" spans="1:2" x14ac:dyDescent="0.15">
      <c r="A2004" s="22">
        <v>43682</v>
      </c>
      <c r="B2004">
        <v>1.1202000000000001</v>
      </c>
    </row>
    <row r="2005" spans="1:2" x14ac:dyDescent="0.15">
      <c r="A2005" s="22">
        <v>43683</v>
      </c>
      <c r="B2005">
        <v>1.1197999999999999</v>
      </c>
    </row>
    <row r="2006" spans="1:2" x14ac:dyDescent="0.15">
      <c r="A2006" s="22">
        <v>43684</v>
      </c>
      <c r="B2006">
        <v>1.1196999999999999</v>
      </c>
    </row>
    <row r="2007" spans="1:2" x14ac:dyDescent="0.15">
      <c r="A2007" s="22">
        <v>43685</v>
      </c>
      <c r="B2007">
        <v>1.1177999999999999</v>
      </c>
    </row>
    <row r="2008" spans="1:2" x14ac:dyDescent="0.15">
      <c r="A2008" s="22">
        <v>43686</v>
      </c>
      <c r="B2008">
        <v>1.1197999999999999</v>
      </c>
    </row>
    <row r="2009" spans="1:2" x14ac:dyDescent="0.15">
      <c r="A2009" s="22">
        <v>43689</v>
      </c>
      <c r="B2009">
        <v>1.1212</v>
      </c>
    </row>
    <row r="2010" spans="1:2" x14ac:dyDescent="0.15">
      <c r="A2010" s="22">
        <v>43690</v>
      </c>
      <c r="B2010">
        <v>1.1169</v>
      </c>
    </row>
    <row r="2011" spans="1:2" x14ac:dyDescent="0.15">
      <c r="A2011" s="22">
        <v>43691</v>
      </c>
      <c r="B2011">
        <v>1.1137999999999999</v>
      </c>
    </row>
    <row r="2012" spans="1:2" x14ac:dyDescent="0.15">
      <c r="A2012" s="22">
        <v>43692</v>
      </c>
      <c r="B2012">
        <v>1.1106</v>
      </c>
    </row>
    <row r="2013" spans="1:2" x14ac:dyDescent="0.15">
      <c r="A2013" s="22">
        <v>43693</v>
      </c>
      <c r="B2013">
        <v>1.1089</v>
      </c>
    </row>
    <row r="2014" spans="1:2" x14ac:dyDescent="0.15">
      <c r="A2014" s="22">
        <v>43696</v>
      </c>
      <c r="B2014">
        <v>1.1075999999999999</v>
      </c>
    </row>
    <row r="2015" spans="1:2" x14ac:dyDescent="0.15">
      <c r="A2015" s="22">
        <v>43697</v>
      </c>
      <c r="B2015">
        <v>1.1099000000000001</v>
      </c>
    </row>
    <row r="2016" spans="1:2" x14ac:dyDescent="0.15">
      <c r="A2016" s="22">
        <v>43698</v>
      </c>
      <c r="B2016">
        <v>1.1083000000000001</v>
      </c>
    </row>
    <row r="2017" spans="1:2" x14ac:dyDescent="0.15">
      <c r="A2017" s="22">
        <v>43699</v>
      </c>
      <c r="B2017">
        <v>1.1077999999999999</v>
      </c>
    </row>
    <row r="2018" spans="1:2" x14ac:dyDescent="0.15">
      <c r="A2018" s="22">
        <v>43700</v>
      </c>
      <c r="B2018">
        <v>1.1144000000000001</v>
      </c>
    </row>
    <row r="2019" spans="1:2" x14ac:dyDescent="0.15">
      <c r="A2019" s="22">
        <v>43703</v>
      </c>
      <c r="B2019">
        <v>1.1100000000000001</v>
      </c>
    </row>
    <row r="2020" spans="1:2" x14ac:dyDescent="0.15">
      <c r="A2020" s="22">
        <v>43704</v>
      </c>
      <c r="B2020">
        <v>1.109</v>
      </c>
    </row>
    <row r="2021" spans="1:2" x14ac:dyDescent="0.15">
      <c r="A2021" s="22">
        <v>43705</v>
      </c>
      <c r="B2021">
        <v>1.1076999999999999</v>
      </c>
    </row>
    <row r="2022" spans="1:2" x14ac:dyDescent="0.15">
      <c r="A2022" s="22">
        <v>43706</v>
      </c>
      <c r="B2022">
        <v>1.1054999999999999</v>
      </c>
    </row>
    <row r="2023" spans="1:2" x14ac:dyDescent="0.15">
      <c r="A2023" s="22">
        <v>43707</v>
      </c>
      <c r="B2023">
        <v>1.0989</v>
      </c>
    </row>
    <row r="2024" spans="1:2" x14ac:dyDescent="0.15">
      <c r="A2024" s="22">
        <v>43710</v>
      </c>
      <c r="B2024">
        <v>1.0966</v>
      </c>
    </row>
    <row r="2025" spans="1:2" x14ac:dyDescent="0.15">
      <c r="A2025" s="22">
        <v>43711</v>
      </c>
      <c r="B2025">
        <v>1.0972</v>
      </c>
    </row>
    <row r="2026" spans="1:2" x14ac:dyDescent="0.15">
      <c r="A2026" s="22">
        <v>43712</v>
      </c>
      <c r="B2026">
        <v>1.1032999999999999</v>
      </c>
    </row>
    <row r="2027" spans="1:2" x14ac:dyDescent="0.15">
      <c r="A2027" s="22">
        <v>43713</v>
      </c>
      <c r="B2027">
        <v>1.1032999999999999</v>
      </c>
    </row>
    <row r="2028" spans="1:2" x14ac:dyDescent="0.15">
      <c r="A2028" s="22">
        <v>43714</v>
      </c>
      <c r="B2028">
        <v>1.1027</v>
      </c>
    </row>
    <row r="2029" spans="1:2" x14ac:dyDescent="0.15">
      <c r="A2029" s="22">
        <v>43717</v>
      </c>
      <c r="B2029">
        <v>1.1046</v>
      </c>
    </row>
    <row r="2030" spans="1:2" x14ac:dyDescent="0.15">
      <c r="A2030" s="22">
        <v>43718</v>
      </c>
      <c r="B2030">
        <v>1.1043000000000001</v>
      </c>
    </row>
    <row r="2031" spans="1:2" x14ac:dyDescent="0.15">
      <c r="A2031" s="22">
        <v>43719</v>
      </c>
      <c r="B2031">
        <v>1.1009</v>
      </c>
    </row>
    <row r="2032" spans="1:2" x14ac:dyDescent="0.15">
      <c r="A2032" s="22">
        <v>43720</v>
      </c>
      <c r="B2032">
        <v>1.1061000000000001</v>
      </c>
    </row>
    <row r="2033" spans="1:2" x14ac:dyDescent="0.15">
      <c r="A2033" s="22">
        <v>43721</v>
      </c>
      <c r="B2033">
        <v>1.1073</v>
      </c>
    </row>
    <row r="2034" spans="1:2" x14ac:dyDescent="0.15">
      <c r="A2034" s="22">
        <v>43724</v>
      </c>
      <c r="B2034">
        <v>1.1000000000000001</v>
      </c>
    </row>
    <row r="2035" spans="1:2" x14ac:dyDescent="0.15">
      <c r="A2035" s="22">
        <v>43725</v>
      </c>
      <c r="B2035">
        <v>1.1071</v>
      </c>
    </row>
    <row r="2036" spans="1:2" x14ac:dyDescent="0.15">
      <c r="A2036" s="22">
        <v>43726</v>
      </c>
      <c r="B2036">
        <v>1.1029</v>
      </c>
    </row>
    <row r="2037" spans="1:2" x14ac:dyDescent="0.15">
      <c r="A2037" s="22">
        <v>43727</v>
      </c>
      <c r="B2037">
        <v>1.1040000000000001</v>
      </c>
    </row>
    <row r="2038" spans="1:2" x14ac:dyDescent="0.15">
      <c r="A2038" s="22">
        <v>43728</v>
      </c>
      <c r="B2038">
        <v>1.1016999999999999</v>
      </c>
    </row>
    <row r="2039" spans="1:2" x14ac:dyDescent="0.15">
      <c r="A2039" s="22">
        <v>43731</v>
      </c>
      <c r="B2039">
        <v>1.0991</v>
      </c>
    </row>
    <row r="2040" spans="1:2" x14ac:dyDescent="0.15">
      <c r="A2040" s="22">
        <v>43732</v>
      </c>
      <c r="B2040">
        <v>1.1017999999999999</v>
      </c>
    </row>
    <row r="2041" spans="1:2" x14ac:dyDescent="0.15">
      <c r="A2041" s="22">
        <v>43733</v>
      </c>
      <c r="B2041">
        <v>1.0941000000000001</v>
      </c>
    </row>
    <row r="2042" spans="1:2" x14ac:dyDescent="0.15">
      <c r="A2042" s="22">
        <v>43734</v>
      </c>
      <c r="B2042">
        <v>1.0921000000000001</v>
      </c>
    </row>
    <row r="2043" spans="1:2" x14ac:dyDescent="0.15">
      <c r="A2043" s="22">
        <v>43735</v>
      </c>
      <c r="B2043">
        <v>1.0938000000000001</v>
      </c>
    </row>
    <row r="2044" spans="1:2" x14ac:dyDescent="0.15">
      <c r="A2044" s="22">
        <v>43738</v>
      </c>
      <c r="B2044">
        <v>1.0898000000000001</v>
      </c>
    </row>
    <row r="2045" spans="1:2" x14ac:dyDescent="0.15">
      <c r="A2045" s="22">
        <v>43739</v>
      </c>
      <c r="B2045">
        <v>1.093</v>
      </c>
    </row>
    <row r="2046" spans="1:2" x14ac:dyDescent="0.15">
      <c r="A2046" s="22">
        <v>43740</v>
      </c>
      <c r="B2046">
        <v>1.0958000000000001</v>
      </c>
    </row>
    <row r="2047" spans="1:2" x14ac:dyDescent="0.15">
      <c r="A2047" s="22">
        <v>43741</v>
      </c>
      <c r="B2047">
        <v>1.0964</v>
      </c>
    </row>
    <row r="2048" spans="1:2" x14ac:dyDescent="0.15">
      <c r="A2048" s="22">
        <v>43742</v>
      </c>
      <c r="B2048">
        <v>1.0975999999999999</v>
      </c>
    </row>
    <row r="2049" spans="1:2" x14ac:dyDescent="0.15">
      <c r="A2049" s="22">
        <v>43745</v>
      </c>
      <c r="B2049">
        <v>1.097</v>
      </c>
    </row>
    <row r="2050" spans="1:2" x14ac:dyDescent="0.15">
      <c r="A2050" s="22">
        <v>43746</v>
      </c>
      <c r="B2050">
        <v>1.0953999999999999</v>
      </c>
    </row>
    <row r="2051" spans="1:2" x14ac:dyDescent="0.15">
      <c r="A2051" s="22">
        <v>43747</v>
      </c>
      <c r="B2051">
        <v>1.0969</v>
      </c>
    </row>
    <row r="2052" spans="1:2" x14ac:dyDescent="0.15">
      <c r="A2052" s="22">
        <v>43748</v>
      </c>
      <c r="B2052">
        <v>1.1004</v>
      </c>
    </row>
    <row r="2053" spans="1:2" x14ac:dyDescent="0.15">
      <c r="A2053" s="22">
        <v>43749</v>
      </c>
      <c r="B2053">
        <v>1.1040000000000001</v>
      </c>
    </row>
    <row r="2054" spans="1:2" x14ac:dyDescent="0.15">
      <c r="A2054" s="22">
        <v>43752</v>
      </c>
      <c r="B2054">
        <v>1.1028</v>
      </c>
    </row>
    <row r="2055" spans="1:2" x14ac:dyDescent="0.15">
      <c r="A2055" s="22">
        <v>43753</v>
      </c>
      <c r="B2055">
        <v>1.1031</v>
      </c>
    </row>
    <row r="2056" spans="1:2" x14ac:dyDescent="0.15">
      <c r="A2056" s="22">
        <v>43754</v>
      </c>
      <c r="B2056">
        <v>1.107</v>
      </c>
    </row>
    <row r="2057" spans="1:2" x14ac:dyDescent="0.15">
      <c r="A2057" s="22">
        <v>43755</v>
      </c>
      <c r="B2057">
        <v>1.1122000000000001</v>
      </c>
    </row>
    <row r="2058" spans="1:2" x14ac:dyDescent="0.15">
      <c r="A2058" s="22">
        <v>43756</v>
      </c>
      <c r="B2058">
        <v>1.1169</v>
      </c>
    </row>
    <row r="2059" spans="1:2" x14ac:dyDescent="0.15">
      <c r="A2059" s="22">
        <v>43759</v>
      </c>
      <c r="B2059">
        <v>1.1148</v>
      </c>
    </row>
    <row r="2060" spans="1:2" x14ac:dyDescent="0.15">
      <c r="A2060" s="22">
        <v>43760</v>
      </c>
      <c r="B2060">
        <v>1.1124000000000001</v>
      </c>
    </row>
    <row r="2061" spans="1:2" x14ac:dyDescent="0.15">
      <c r="A2061" s="22">
        <v>43761</v>
      </c>
      <c r="B2061">
        <v>1.1129</v>
      </c>
    </row>
    <row r="2062" spans="1:2" x14ac:dyDescent="0.15">
      <c r="A2062" s="22">
        <v>43762</v>
      </c>
      <c r="B2062">
        <v>1.1104000000000001</v>
      </c>
    </row>
    <row r="2063" spans="1:2" x14ac:dyDescent="0.15">
      <c r="A2063" s="22">
        <v>43763</v>
      </c>
      <c r="B2063">
        <v>1.1077999999999999</v>
      </c>
    </row>
    <row r="2064" spans="1:2" x14ac:dyDescent="0.15">
      <c r="A2064" s="22">
        <v>43766</v>
      </c>
      <c r="B2064">
        <v>1.1097999999999999</v>
      </c>
    </row>
    <row r="2065" spans="1:2" x14ac:dyDescent="0.15">
      <c r="A2065" s="22">
        <v>43767</v>
      </c>
      <c r="B2065">
        <v>1.111</v>
      </c>
    </row>
    <row r="2066" spans="1:2" x14ac:dyDescent="0.15">
      <c r="A2066" s="22">
        <v>43768</v>
      </c>
      <c r="B2066">
        <v>1.1148</v>
      </c>
    </row>
    <row r="2067" spans="1:2" x14ac:dyDescent="0.15">
      <c r="A2067" s="22">
        <v>43769</v>
      </c>
      <c r="B2067">
        <v>1.115</v>
      </c>
    </row>
    <row r="2068" spans="1:2" x14ac:dyDescent="0.15">
      <c r="A2068" s="22">
        <v>43770</v>
      </c>
      <c r="B2068">
        <v>1.1165</v>
      </c>
    </row>
    <row r="2069" spans="1:2" x14ac:dyDescent="0.15">
      <c r="A2069" s="22">
        <v>43773</v>
      </c>
      <c r="B2069">
        <v>1.1126</v>
      </c>
    </row>
    <row r="2070" spans="1:2" x14ac:dyDescent="0.15">
      <c r="A2070" s="22">
        <v>43774</v>
      </c>
      <c r="B2070">
        <v>1.1073999999999999</v>
      </c>
    </row>
    <row r="2071" spans="1:2" x14ac:dyDescent="0.15">
      <c r="A2071" s="22">
        <v>43775</v>
      </c>
      <c r="B2071">
        <v>1.1065</v>
      </c>
    </row>
    <row r="2072" spans="1:2" x14ac:dyDescent="0.15">
      <c r="A2072" s="22">
        <v>43776</v>
      </c>
      <c r="B2072">
        <v>1.1049</v>
      </c>
    </row>
    <row r="2073" spans="1:2" x14ac:dyDescent="0.15">
      <c r="A2073" s="22">
        <v>43777</v>
      </c>
      <c r="B2073">
        <v>1.1015999999999999</v>
      </c>
    </row>
    <row r="2074" spans="1:2" x14ac:dyDescent="0.15">
      <c r="A2074" s="22">
        <v>43780</v>
      </c>
      <c r="B2074">
        <v>1.1032</v>
      </c>
    </row>
    <row r="2075" spans="1:2" x14ac:dyDescent="0.15">
      <c r="A2075" s="22">
        <v>43781</v>
      </c>
      <c r="B2075">
        <v>1.1007</v>
      </c>
    </row>
    <row r="2076" spans="1:2" x14ac:dyDescent="0.15">
      <c r="A2076" s="22">
        <v>43782</v>
      </c>
      <c r="B2076">
        <v>1.1006</v>
      </c>
    </row>
    <row r="2077" spans="1:2" x14ac:dyDescent="0.15">
      <c r="A2077" s="22">
        <v>43783</v>
      </c>
      <c r="B2077">
        <v>1.1021000000000001</v>
      </c>
    </row>
    <row r="2078" spans="1:2" x14ac:dyDescent="0.15">
      <c r="A2078" s="22">
        <v>43784</v>
      </c>
      <c r="B2078">
        <v>1.105</v>
      </c>
    </row>
    <row r="2079" spans="1:2" x14ac:dyDescent="0.15">
      <c r="A2079" s="22">
        <v>43787</v>
      </c>
      <c r="B2079">
        <v>1.107</v>
      </c>
    </row>
    <row r="2080" spans="1:2" x14ac:dyDescent="0.15">
      <c r="A2080" s="22">
        <v>43788</v>
      </c>
      <c r="B2080">
        <v>1.1077999999999999</v>
      </c>
    </row>
    <row r="2081" spans="1:2" x14ac:dyDescent="0.15">
      <c r="A2081" s="22">
        <v>43789</v>
      </c>
      <c r="B2081">
        <v>1.1072</v>
      </c>
    </row>
    <row r="2082" spans="1:2" x14ac:dyDescent="0.15">
      <c r="A2082" s="22">
        <v>43790</v>
      </c>
      <c r="B2082">
        <v>1.1056999999999999</v>
      </c>
    </row>
    <row r="2083" spans="1:2" x14ac:dyDescent="0.15">
      <c r="A2083" s="22">
        <v>43791</v>
      </c>
      <c r="B2083">
        <v>1.1022000000000001</v>
      </c>
    </row>
    <row r="2084" spans="1:2" x14ac:dyDescent="0.15">
      <c r="A2084" s="22">
        <v>43794</v>
      </c>
      <c r="B2084">
        <v>1.1012999999999999</v>
      </c>
    </row>
    <row r="2085" spans="1:2" x14ac:dyDescent="0.15">
      <c r="A2085" s="22">
        <v>43795</v>
      </c>
      <c r="B2085">
        <v>1.1017999999999999</v>
      </c>
    </row>
    <row r="2086" spans="1:2" x14ac:dyDescent="0.15">
      <c r="A2086" s="22">
        <v>43796</v>
      </c>
      <c r="B2086">
        <v>1.0998000000000001</v>
      </c>
    </row>
    <row r="2087" spans="1:2" x14ac:dyDescent="0.15">
      <c r="A2087" s="22">
        <v>43797</v>
      </c>
      <c r="B2087">
        <v>1.1007</v>
      </c>
    </row>
    <row r="2088" spans="1:2" x14ac:dyDescent="0.15">
      <c r="A2088" s="22">
        <v>43798</v>
      </c>
      <c r="B2088">
        <v>1.1014999999999999</v>
      </c>
    </row>
    <row r="2089" spans="1:2" x14ac:dyDescent="0.15">
      <c r="A2089" s="22">
        <v>43801</v>
      </c>
      <c r="B2089">
        <v>1.1076999999999999</v>
      </c>
    </row>
    <row r="2090" spans="1:2" x14ac:dyDescent="0.15">
      <c r="A2090" s="22">
        <v>43802</v>
      </c>
      <c r="B2090">
        <v>1.1081000000000001</v>
      </c>
    </row>
    <row r="2091" spans="1:2" x14ac:dyDescent="0.15">
      <c r="A2091" s="22">
        <v>43803</v>
      </c>
      <c r="B2091">
        <v>1.1075999999999999</v>
      </c>
    </row>
    <row r="2092" spans="1:2" x14ac:dyDescent="0.15">
      <c r="A2092" s="22">
        <v>43804</v>
      </c>
      <c r="B2092">
        <v>1.1102000000000001</v>
      </c>
    </row>
    <row r="2093" spans="1:2" x14ac:dyDescent="0.15">
      <c r="A2093" s="22">
        <v>43805</v>
      </c>
      <c r="B2093">
        <v>1.1056999999999999</v>
      </c>
    </row>
    <row r="2094" spans="1:2" x14ac:dyDescent="0.15">
      <c r="A2094" s="22">
        <v>43808</v>
      </c>
      <c r="B2094">
        <v>1.1062000000000001</v>
      </c>
    </row>
    <row r="2095" spans="1:2" x14ac:dyDescent="0.15">
      <c r="A2095" s="22">
        <v>43809</v>
      </c>
      <c r="B2095">
        <v>1.1092</v>
      </c>
    </row>
    <row r="2096" spans="1:2" x14ac:dyDescent="0.15">
      <c r="A2096" s="22">
        <v>43810</v>
      </c>
      <c r="B2096">
        <v>1.1128</v>
      </c>
    </row>
    <row r="2097" spans="1:2" x14ac:dyDescent="0.15">
      <c r="A2097" s="22">
        <v>43811</v>
      </c>
      <c r="B2097">
        <v>1.1128</v>
      </c>
    </row>
    <row r="2098" spans="1:2" x14ac:dyDescent="0.15">
      <c r="A2098" s="22">
        <v>43812</v>
      </c>
      <c r="B2098">
        <v>1.1119000000000001</v>
      </c>
    </row>
    <row r="2099" spans="1:2" x14ac:dyDescent="0.15">
      <c r="A2099" s="22">
        <v>43815</v>
      </c>
      <c r="B2099">
        <v>1.1142000000000001</v>
      </c>
    </row>
    <row r="2100" spans="1:2" x14ac:dyDescent="0.15">
      <c r="A2100" s="22">
        <v>43816</v>
      </c>
      <c r="B2100">
        <v>1.1149</v>
      </c>
    </row>
    <row r="2101" spans="1:2" x14ac:dyDescent="0.15">
      <c r="A2101" s="22">
        <v>43817</v>
      </c>
      <c r="B2101">
        <v>1.1111</v>
      </c>
    </row>
    <row r="2102" spans="1:2" x14ac:dyDescent="0.15">
      <c r="A2102" s="22">
        <v>43818</v>
      </c>
      <c r="B2102">
        <v>1.1120000000000001</v>
      </c>
    </row>
    <row r="2103" spans="1:2" x14ac:dyDescent="0.15">
      <c r="A2103" s="22">
        <v>43819</v>
      </c>
      <c r="B2103">
        <v>1.1077999999999999</v>
      </c>
    </row>
    <row r="2104" spans="1:2" x14ac:dyDescent="0.15">
      <c r="A2104" s="22">
        <v>43822</v>
      </c>
      <c r="B2104">
        <v>1.1086</v>
      </c>
    </row>
    <row r="2105" spans="1:2" x14ac:dyDescent="0.15">
      <c r="A2105" s="22">
        <v>43823</v>
      </c>
      <c r="B2105">
        <v>1.1087</v>
      </c>
    </row>
    <row r="2106" spans="1:2" x14ac:dyDescent="0.15">
      <c r="A2106" s="22">
        <v>43824</v>
      </c>
      <c r="B2106">
        <v>1.109</v>
      </c>
    </row>
    <row r="2107" spans="1:2" x14ac:dyDescent="0.15">
      <c r="A2107" s="22">
        <v>43825</v>
      </c>
      <c r="B2107">
        <v>1.1095999999999999</v>
      </c>
    </row>
    <row r="2108" spans="1:2" x14ac:dyDescent="0.15">
      <c r="A2108" s="22">
        <v>43826</v>
      </c>
      <c r="B2108">
        <v>1.1174999999999999</v>
      </c>
    </row>
    <row r="2109" spans="1:2" x14ac:dyDescent="0.15">
      <c r="A2109" s="22">
        <v>43829</v>
      </c>
      <c r="B2109">
        <v>1.1196999999999999</v>
      </c>
    </row>
    <row r="2110" spans="1:2" x14ac:dyDescent="0.15">
      <c r="A2110" s="22">
        <v>43830</v>
      </c>
      <c r="B2110">
        <v>1.121</v>
      </c>
    </row>
    <row r="2111" spans="1:2" x14ac:dyDescent="0.15">
      <c r="A2111" s="22">
        <v>43831</v>
      </c>
      <c r="B2111">
        <v>1.121</v>
      </c>
    </row>
    <row r="2112" spans="1:2" x14ac:dyDescent="0.15">
      <c r="A2112" s="22">
        <v>43832</v>
      </c>
      <c r="B2112">
        <v>1.117</v>
      </c>
    </row>
    <row r="2113" spans="1:2" x14ac:dyDescent="0.15">
      <c r="A2113" s="22">
        <v>43833</v>
      </c>
      <c r="B2113">
        <v>1.1157999999999999</v>
      </c>
    </row>
    <row r="2114" spans="1:2" x14ac:dyDescent="0.15">
      <c r="A2114" s="22">
        <v>43836</v>
      </c>
      <c r="B2114">
        <v>1.1193</v>
      </c>
    </row>
    <row r="2115" spans="1:2" x14ac:dyDescent="0.15">
      <c r="A2115" s="22">
        <v>43837</v>
      </c>
      <c r="B2115">
        <v>1.1151</v>
      </c>
    </row>
    <row r="2116" spans="1:2" x14ac:dyDescent="0.15">
      <c r="A2116" s="22">
        <v>43838</v>
      </c>
      <c r="B2116">
        <v>1.1103000000000001</v>
      </c>
    </row>
    <row r="2117" spans="1:2" x14ac:dyDescent="0.15">
      <c r="A2117" s="22">
        <v>43839</v>
      </c>
      <c r="B2117">
        <v>1.1105</v>
      </c>
    </row>
    <row r="2118" spans="1:2" x14ac:dyDescent="0.15">
      <c r="A2118" s="22">
        <v>43840</v>
      </c>
      <c r="B2118">
        <v>1.1120000000000001</v>
      </c>
    </row>
    <row r="2119" spans="1:2" x14ac:dyDescent="0.15">
      <c r="A2119" s="22">
        <v>43843</v>
      </c>
      <c r="B2119">
        <v>1.1133</v>
      </c>
    </row>
    <row r="2120" spans="1:2" x14ac:dyDescent="0.15">
      <c r="A2120" s="22">
        <v>43844</v>
      </c>
      <c r="B2120">
        <v>1.1127</v>
      </c>
    </row>
    <row r="2121" spans="1:2" x14ac:dyDescent="0.15">
      <c r="A2121" s="22">
        <v>43845</v>
      </c>
      <c r="B2121">
        <v>1.1149</v>
      </c>
    </row>
    <row r="2122" spans="1:2" x14ac:dyDescent="0.15">
      <c r="A2122" s="22">
        <v>43846</v>
      </c>
      <c r="B2122">
        <v>1.1134999999999999</v>
      </c>
    </row>
    <row r="2123" spans="1:2" x14ac:dyDescent="0.15">
      <c r="A2123" s="22">
        <v>43847</v>
      </c>
      <c r="B2123">
        <v>1.1088</v>
      </c>
    </row>
    <row r="2124" spans="1:2" x14ac:dyDescent="0.15">
      <c r="A2124" s="22">
        <v>43850</v>
      </c>
      <c r="B2124">
        <v>1.1093999999999999</v>
      </c>
    </row>
    <row r="2125" spans="1:2" x14ac:dyDescent="0.15">
      <c r="A2125" s="22">
        <v>43851</v>
      </c>
      <c r="B2125">
        <v>1.1082000000000001</v>
      </c>
    </row>
    <row r="2126" spans="1:2" x14ac:dyDescent="0.15">
      <c r="A2126" s="22">
        <v>43852</v>
      </c>
      <c r="B2126">
        <v>1.1091</v>
      </c>
    </row>
    <row r="2127" spans="1:2" x14ac:dyDescent="0.15">
      <c r="A2127" s="22">
        <v>43853</v>
      </c>
      <c r="B2127">
        <v>1.1052</v>
      </c>
    </row>
    <row r="2128" spans="1:2" x14ac:dyDescent="0.15">
      <c r="A2128" s="22">
        <v>43854</v>
      </c>
      <c r="B2128">
        <v>1.1023000000000001</v>
      </c>
    </row>
    <row r="2129" spans="1:2" x14ac:dyDescent="0.15">
      <c r="A2129" s="22">
        <v>43857</v>
      </c>
      <c r="B2129">
        <v>1.1015999999999999</v>
      </c>
    </row>
    <row r="2130" spans="1:2" x14ac:dyDescent="0.15">
      <c r="A2130" s="22">
        <v>43858</v>
      </c>
      <c r="B2130">
        <v>1.1020000000000001</v>
      </c>
    </row>
    <row r="2131" spans="1:2" x14ac:dyDescent="0.15">
      <c r="A2131" s="22">
        <v>43859</v>
      </c>
      <c r="B2131">
        <v>1.1009</v>
      </c>
    </row>
    <row r="2132" spans="1:2" x14ac:dyDescent="0.15">
      <c r="A2132" s="22">
        <v>43860</v>
      </c>
      <c r="B2132">
        <v>1.103</v>
      </c>
    </row>
    <row r="2133" spans="1:2" x14ac:dyDescent="0.15">
      <c r="A2133" s="22">
        <v>43861</v>
      </c>
      <c r="B2133">
        <v>1.1093</v>
      </c>
    </row>
    <row r="2134" spans="1:2" x14ac:dyDescent="0.15">
      <c r="A2134" s="22">
        <v>43864</v>
      </c>
      <c r="B2134">
        <v>1.1057999999999999</v>
      </c>
    </row>
    <row r="2135" spans="1:2" x14ac:dyDescent="0.15">
      <c r="A2135" s="22">
        <v>43865</v>
      </c>
      <c r="B2135">
        <v>1.1042000000000001</v>
      </c>
    </row>
    <row r="2136" spans="1:2" x14ac:dyDescent="0.15">
      <c r="A2136" s="22">
        <v>43866</v>
      </c>
      <c r="B2136">
        <v>1.0996999999999999</v>
      </c>
    </row>
    <row r="2137" spans="1:2" x14ac:dyDescent="0.15">
      <c r="A2137" s="22">
        <v>43867</v>
      </c>
      <c r="B2137">
        <v>1.0980000000000001</v>
      </c>
    </row>
    <row r="2138" spans="1:2" x14ac:dyDescent="0.15">
      <c r="A2138" s="22">
        <v>43868</v>
      </c>
      <c r="B2138">
        <v>1.0943000000000001</v>
      </c>
    </row>
    <row r="2139" spans="1:2" x14ac:dyDescent="0.15">
      <c r="A2139" s="22">
        <v>43871</v>
      </c>
      <c r="B2139">
        <v>1.0909</v>
      </c>
    </row>
    <row r="2140" spans="1:2" x14ac:dyDescent="0.15">
      <c r="A2140" s="22">
        <v>43872</v>
      </c>
      <c r="B2140">
        <v>1.0913999999999999</v>
      </c>
    </row>
    <row r="2141" spans="1:2" x14ac:dyDescent="0.15">
      <c r="A2141" s="22">
        <v>43873</v>
      </c>
      <c r="B2141">
        <v>1.0871</v>
      </c>
    </row>
    <row r="2142" spans="1:2" x14ac:dyDescent="0.15">
      <c r="A2142" s="22">
        <v>43874</v>
      </c>
      <c r="B2142">
        <v>1.0840000000000001</v>
      </c>
    </row>
    <row r="2143" spans="1:2" x14ac:dyDescent="0.15">
      <c r="A2143" s="22">
        <v>43875</v>
      </c>
      <c r="B2143">
        <v>1.083</v>
      </c>
    </row>
    <row r="2144" spans="1:2" x14ac:dyDescent="0.15">
      <c r="A2144" s="22">
        <v>43878</v>
      </c>
      <c r="B2144">
        <v>1.0833999999999999</v>
      </c>
    </row>
    <row r="2145" spans="1:2" x14ac:dyDescent="0.15">
      <c r="A2145" s="22">
        <v>43879</v>
      </c>
      <c r="B2145">
        <v>1.0790999999999999</v>
      </c>
    </row>
    <row r="2146" spans="1:2" x14ac:dyDescent="0.15">
      <c r="A2146" s="22">
        <v>43880</v>
      </c>
      <c r="B2146">
        <v>1.0804</v>
      </c>
    </row>
    <row r="2147" spans="1:2" x14ac:dyDescent="0.15">
      <c r="A2147" s="22">
        <v>43881</v>
      </c>
      <c r="B2147">
        <v>1.0783</v>
      </c>
    </row>
    <row r="2148" spans="1:2" x14ac:dyDescent="0.15">
      <c r="A2148" s="22">
        <v>43882</v>
      </c>
      <c r="B2148">
        <v>1.0843</v>
      </c>
    </row>
    <row r="2149" spans="1:2" x14ac:dyDescent="0.15">
      <c r="A2149" s="22">
        <v>43885</v>
      </c>
      <c r="B2149">
        <v>1.0851999999999999</v>
      </c>
    </row>
    <row r="2150" spans="1:2" x14ac:dyDescent="0.15">
      <c r="A2150" s="22">
        <v>43886</v>
      </c>
      <c r="B2150">
        <v>1.0879000000000001</v>
      </c>
    </row>
    <row r="2151" spans="1:2" x14ac:dyDescent="0.15">
      <c r="A2151" s="22">
        <v>43887</v>
      </c>
      <c r="B2151">
        <v>1.0879000000000001</v>
      </c>
    </row>
    <row r="2152" spans="1:2" x14ac:dyDescent="0.15">
      <c r="A2152" s="22">
        <v>43888</v>
      </c>
      <c r="B2152">
        <v>1.0998000000000001</v>
      </c>
    </row>
    <row r="2153" spans="1:2" x14ac:dyDescent="0.15">
      <c r="A2153" s="22">
        <v>43889</v>
      </c>
      <c r="B2153">
        <v>1.1025</v>
      </c>
    </row>
    <row r="2154" spans="1:2" x14ac:dyDescent="0.15">
      <c r="A2154" s="22">
        <v>43892</v>
      </c>
      <c r="B2154">
        <v>1.1132</v>
      </c>
    </row>
    <row r="2155" spans="1:2" x14ac:dyDescent="0.15">
      <c r="A2155" s="22">
        <v>43893</v>
      </c>
      <c r="B2155">
        <v>1.1171</v>
      </c>
    </row>
    <row r="2156" spans="1:2" x14ac:dyDescent="0.15">
      <c r="A2156" s="22">
        <v>43894</v>
      </c>
      <c r="B2156">
        <v>1.1133999999999999</v>
      </c>
    </row>
    <row r="2157" spans="1:2" x14ac:dyDescent="0.15">
      <c r="A2157" s="22">
        <v>43895</v>
      </c>
      <c r="B2157">
        <v>1.1238999999999999</v>
      </c>
    </row>
    <row r="2158" spans="1:2" x14ac:dyDescent="0.15">
      <c r="A2158" s="22">
        <v>43896</v>
      </c>
      <c r="B2158">
        <v>1.1285000000000001</v>
      </c>
    </row>
    <row r="2159" spans="1:2" x14ac:dyDescent="0.15">
      <c r="A2159" s="22">
        <v>43899</v>
      </c>
      <c r="B2159">
        <v>1.1447000000000001</v>
      </c>
    </row>
    <row r="2160" spans="1:2" x14ac:dyDescent="0.15">
      <c r="A2160" s="22">
        <v>43900</v>
      </c>
      <c r="B2160">
        <v>1.1278999999999999</v>
      </c>
    </row>
    <row r="2161" spans="1:2" x14ac:dyDescent="0.15">
      <c r="A2161" s="22">
        <v>43901</v>
      </c>
      <c r="B2161">
        <v>1.1267</v>
      </c>
    </row>
    <row r="2162" spans="1:2" x14ac:dyDescent="0.15">
      <c r="A2162" s="22">
        <v>43902</v>
      </c>
      <c r="B2162">
        <v>1.1183000000000001</v>
      </c>
    </row>
    <row r="2163" spans="1:2" x14ac:dyDescent="0.15">
      <c r="A2163" s="22">
        <v>43903</v>
      </c>
      <c r="B2163">
        <v>1.1105</v>
      </c>
    </row>
    <row r="2164" spans="1:2" x14ac:dyDescent="0.15">
      <c r="A2164" s="22">
        <v>43906</v>
      </c>
      <c r="B2164">
        <v>1.1181000000000001</v>
      </c>
    </row>
    <row r="2165" spans="1:2" x14ac:dyDescent="0.15">
      <c r="A2165" s="22">
        <v>43907</v>
      </c>
      <c r="B2165">
        <v>1.0995999999999999</v>
      </c>
    </row>
    <row r="2166" spans="1:2" x14ac:dyDescent="0.15">
      <c r="A2166" s="22">
        <v>43908</v>
      </c>
      <c r="B2166">
        <v>1.0912999999999999</v>
      </c>
    </row>
    <row r="2167" spans="1:2" x14ac:dyDescent="0.15">
      <c r="A2167" s="22">
        <v>43909</v>
      </c>
      <c r="B2167">
        <v>1.069</v>
      </c>
    </row>
    <row r="2168" spans="1:2" x14ac:dyDescent="0.15">
      <c r="A2168" s="22">
        <v>43910</v>
      </c>
      <c r="B2168">
        <v>1.0693999999999999</v>
      </c>
    </row>
    <row r="2169" spans="1:2" x14ac:dyDescent="0.15">
      <c r="A2169" s="22">
        <v>43913</v>
      </c>
      <c r="B2169">
        <v>1.0721000000000001</v>
      </c>
    </row>
    <row r="2170" spans="1:2" x14ac:dyDescent="0.15">
      <c r="A2170" s="22">
        <v>43914</v>
      </c>
      <c r="B2170">
        <v>1.0787</v>
      </c>
    </row>
    <row r="2171" spans="1:2" x14ac:dyDescent="0.15">
      <c r="A2171" s="22">
        <v>43915</v>
      </c>
      <c r="B2171">
        <v>1.0880000000000001</v>
      </c>
    </row>
    <row r="2172" spans="1:2" x14ac:dyDescent="0.15">
      <c r="A2172" s="22">
        <v>43916</v>
      </c>
      <c r="B2172">
        <v>1.1028</v>
      </c>
    </row>
    <row r="2173" spans="1:2" x14ac:dyDescent="0.15">
      <c r="A2173" s="22">
        <v>43917</v>
      </c>
      <c r="B2173">
        <v>1.1140000000000001</v>
      </c>
    </row>
    <row r="2174" spans="1:2" x14ac:dyDescent="0.15">
      <c r="A2174" s="22">
        <v>43920</v>
      </c>
      <c r="B2174">
        <v>1.1046</v>
      </c>
    </row>
    <row r="2175" spans="1:2" x14ac:dyDescent="0.15">
      <c r="A2175" s="22">
        <v>43921</v>
      </c>
      <c r="B2175">
        <v>1.1029</v>
      </c>
    </row>
    <row r="2176" spans="1:2" x14ac:dyDescent="0.15">
      <c r="A2176" s="22">
        <v>43922</v>
      </c>
      <c r="B2176">
        <v>1.0962000000000001</v>
      </c>
    </row>
    <row r="2177" spans="1:2" x14ac:dyDescent="0.15">
      <c r="A2177" s="22">
        <v>43923</v>
      </c>
      <c r="B2177">
        <v>1.0855999999999999</v>
      </c>
    </row>
    <row r="2178" spans="1:2" x14ac:dyDescent="0.15">
      <c r="A2178" s="22">
        <v>43924</v>
      </c>
      <c r="B2178">
        <v>1.0808</v>
      </c>
    </row>
    <row r="2179" spans="1:2" x14ac:dyDescent="0.15">
      <c r="A2179" s="22">
        <v>43927</v>
      </c>
      <c r="B2179">
        <v>1.0790999999999999</v>
      </c>
    </row>
    <row r="2180" spans="1:2" x14ac:dyDescent="0.15">
      <c r="A2180" s="22">
        <v>43928</v>
      </c>
      <c r="B2180">
        <v>1.0889</v>
      </c>
    </row>
    <row r="2181" spans="1:2" x14ac:dyDescent="0.15">
      <c r="A2181" s="22">
        <v>43929</v>
      </c>
      <c r="B2181">
        <v>1.0855999999999999</v>
      </c>
    </row>
    <row r="2182" spans="1:2" x14ac:dyDescent="0.15">
      <c r="A2182" s="22">
        <v>43930</v>
      </c>
      <c r="B2182">
        <v>1.0927</v>
      </c>
    </row>
    <row r="2183" spans="1:2" x14ac:dyDescent="0.15">
      <c r="A2183" s="22">
        <v>43931</v>
      </c>
      <c r="B2183">
        <v>1.0934999999999999</v>
      </c>
    </row>
    <row r="2184" spans="1:2" x14ac:dyDescent="0.15">
      <c r="A2184" s="22">
        <v>43934</v>
      </c>
      <c r="B2184">
        <v>1.0912999999999999</v>
      </c>
    </row>
    <row r="2185" spans="1:2" x14ac:dyDescent="0.15">
      <c r="A2185" s="22">
        <v>43935</v>
      </c>
      <c r="B2185">
        <v>1.0979000000000001</v>
      </c>
    </row>
    <row r="2186" spans="1:2" x14ac:dyDescent="0.15">
      <c r="A2186" s="22">
        <v>43936</v>
      </c>
      <c r="B2186">
        <v>1.0907</v>
      </c>
    </row>
    <row r="2187" spans="1:2" x14ac:dyDescent="0.15">
      <c r="A2187" s="22">
        <v>43937</v>
      </c>
      <c r="B2187">
        <v>1.0834999999999999</v>
      </c>
    </row>
    <row r="2188" spans="1:2" x14ac:dyDescent="0.15">
      <c r="A2188" s="22">
        <v>43938</v>
      </c>
      <c r="B2188">
        <v>1.0875999999999999</v>
      </c>
    </row>
    <row r="2189" spans="1:2" x14ac:dyDescent="0.15">
      <c r="A2189" s="22">
        <v>43941</v>
      </c>
      <c r="B2189">
        <v>1.0862000000000001</v>
      </c>
    </row>
    <row r="2190" spans="1:2" x14ac:dyDescent="0.15">
      <c r="A2190" s="22">
        <v>43942</v>
      </c>
      <c r="B2190">
        <v>1.0855999999999999</v>
      </c>
    </row>
    <row r="2191" spans="1:2" x14ac:dyDescent="0.15">
      <c r="A2191" s="22">
        <v>43943</v>
      </c>
      <c r="B2191">
        <v>1.0822000000000001</v>
      </c>
    </row>
    <row r="2192" spans="1:2" x14ac:dyDescent="0.15">
      <c r="A2192" s="22">
        <v>43944</v>
      </c>
      <c r="B2192">
        <v>1.0775999999999999</v>
      </c>
    </row>
    <row r="2193" spans="1:2" x14ac:dyDescent="0.15">
      <c r="A2193" s="22">
        <v>43945</v>
      </c>
      <c r="B2193">
        <v>1.0820000000000001</v>
      </c>
    </row>
    <row r="2194" spans="1:2" x14ac:dyDescent="0.15">
      <c r="A2194" s="22">
        <v>43948</v>
      </c>
      <c r="B2194">
        <v>1.0828</v>
      </c>
    </row>
    <row r="2195" spans="1:2" x14ac:dyDescent="0.15">
      <c r="A2195" s="22">
        <v>43949</v>
      </c>
      <c r="B2195">
        <v>1.0818000000000001</v>
      </c>
    </row>
    <row r="2196" spans="1:2" x14ac:dyDescent="0.15">
      <c r="A2196" s="22">
        <v>43950</v>
      </c>
      <c r="B2196">
        <v>1.0872999999999999</v>
      </c>
    </row>
    <row r="2197" spans="1:2" x14ac:dyDescent="0.15">
      <c r="A2197" s="22">
        <v>43951</v>
      </c>
      <c r="B2197">
        <v>1.0954999999999999</v>
      </c>
    </row>
    <row r="2198" spans="1:2" x14ac:dyDescent="0.15">
      <c r="A2198" s="22">
        <v>43952</v>
      </c>
      <c r="B2198">
        <v>1.0983000000000001</v>
      </c>
    </row>
    <row r="2199" spans="1:2" x14ac:dyDescent="0.15">
      <c r="A2199" s="22">
        <v>43955</v>
      </c>
      <c r="B2199">
        <v>1.0906</v>
      </c>
    </row>
    <row r="2200" spans="1:2" x14ac:dyDescent="0.15">
      <c r="A2200" s="22">
        <v>43956</v>
      </c>
      <c r="B2200">
        <v>1.0838000000000001</v>
      </c>
    </row>
    <row r="2201" spans="1:2" x14ac:dyDescent="0.15">
      <c r="A2201" s="22">
        <v>43957</v>
      </c>
      <c r="B2201">
        <v>1.0793999999999999</v>
      </c>
    </row>
    <row r="2202" spans="1:2" x14ac:dyDescent="0.15">
      <c r="A2202" s="22">
        <v>43958</v>
      </c>
      <c r="B2202">
        <v>1.0831999999999999</v>
      </c>
    </row>
    <row r="2203" spans="1:2" x14ac:dyDescent="0.15">
      <c r="A2203" s="22">
        <v>43959</v>
      </c>
      <c r="B2203">
        <v>1.0840000000000001</v>
      </c>
    </row>
    <row r="2204" spans="1:2" x14ac:dyDescent="0.15">
      <c r="A2204" s="22">
        <v>43962</v>
      </c>
      <c r="B2204">
        <v>1.0806</v>
      </c>
    </row>
    <row r="2205" spans="1:2" x14ac:dyDescent="0.15">
      <c r="A2205" s="22">
        <v>43963</v>
      </c>
      <c r="B2205">
        <v>1.0846</v>
      </c>
    </row>
    <row r="2206" spans="1:2" x14ac:dyDescent="0.15">
      <c r="A2206" s="22">
        <v>43964</v>
      </c>
      <c r="B2206">
        <v>1.0815999999999999</v>
      </c>
    </row>
    <row r="2207" spans="1:2" x14ac:dyDescent="0.15">
      <c r="A2207" s="22">
        <v>43965</v>
      </c>
      <c r="B2207">
        <v>1.0804</v>
      </c>
    </row>
    <row r="2208" spans="1:2" x14ac:dyDescent="0.15">
      <c r="A2208" s="22">
        <v>43966</v>
      </c>
      <c r="B2208">
        <v>1.0814999999999999</v>
      </c>
    </row>
    <row r="2209" spans="1:2" x14ac:dyDescent="0.15">
      <c r="A2209" s="22">
        <v>43969</v>
      </c>
      <c r="B2209">
        <v>1.0911999999999999</v>
      </c>
    </row>
    <row r="2210" spans="1:2" x14ac:dyDescent="0.15">
      <c r="A2210" s="22">
        <v>43970</v>
      </c>
      <c r="B2210">
        <v>1.0921000000000001</v>
      </c>
    </row>
    <row r="2211" spans="1:2" x14ac:dyDescent="0.15">
      <c r="A2211" s="22">
        <v>43971</v>
      </c>
      <c r="B2211">
        <v>1.0976999999999999</v>
      </c>
    </row>
    <row r="2212" spans="1:2" x14ac:dyDescent="0.15">
      <c r="A2212" s="22">
        <v>43972</v>
      </c>
      <c r="B2212">
        <v>1.0949</v>
      </c>
    </row>
    <row r="2213" spans="1:2" x14ac:dyDescent="0.15">
      <c r="A2213" s="22">
        <v>43973</v>
      </c>
      <c r="B2213">
        <v>1.0900000000000001</v>
      </c>
    </row>
    <row r="2214" spans="1:2" x14ac:dyDescent="0.15">
      <c r="A2214" s="22">
        <v>43976</v>
      </c>
      <c r="B2214">
        <v>1.0899000000000001</v>
      </c>
    </row>
    <row r="2215" spans="1:2" x14ac:dyDescent="0.15">
      <c r="A2215" s="22">
        <v>43977</v>
      </c>
      <c r="B2215">
        <v>1.0980000000000001</v>
      </c>
    </row>
    <row r="2216" spans="1:2" x14ac:dyDescent="0.15">
      <c r="A2216" s="22">
        <v>43978</v>
      </c>
      <c r="B2216">
        <v>1.1003000000000001</v>
      </c>
    </row>
    <row r="2217" spans="1:2" x14ac:dyDescent="0.15">
      <c r="A2217" s="22">
        <v>43979</v>
      </c>
      <c r="B2217">
        <v>1.1075999999999999</v>
      </c>
    </row>
    <row r="2218" spans="1:2" x14ac:dyDescent="0.15">
      <c r="A2218" s="22">
        <v>43980</v>
      </c>
      <c r="B2218">
        <v>1.1097999999999999</v>
      </c>
    </row>
    <row r="2219" spans="1:2" x14ac:dyDescent="0.15">
      <c r="A2219" s="22">
        <v>43983</v>
      </c>
      <c r="B2219">
        <v>1.1133999999999999</v>
      </c>
    </row>
    <row r="2220" spans="1:2" x14ac:dyDescent="0.15">
      <c r="A2220" s="22">
        <v>43984</v>
      </c>
      <c r="B2220">
        <v>1.1169</v>
      </c>
    </row>
    <row r="2221" spans="1:2" x14ac:dyDescent="0.15">
      <c r="A2221" s="22">
        <v>43985</v>
      </c>
      <c r="B2221">
        <v>1.1232</v>
      </c>
    </row>
    <row r="2222" spans="1:2" x14ac:dyDescent="0.15">
      <c r="A2222" s="22">
        <v>43986</v>
      </c>
      <c r="B2222">
        <v>1.1335999999999999</v>
      </c>
    </row>
    <row r="2223" spans="1:2" x14ac:dyDescent="0.15">
      <c r="A2223" s="22">
        <v>43987</v>
      </c>
      <c r="B2223">
        <v>1.1284000000000001</v>
      </c>
    </row>
    <row r="2224" spans="1:2" x14ac:dyDescent="0.15">
      <c r="A2224" s="22">
        <v>43990</v>
      </c>
      <c r="B2224">
        <v>1.1292</v>
      </c>
    </row>
    <row r="2225" spans="1:2" x14ac:dyDescent="0.15">
      <c r="A2225" s="22">
        <v>43991</v>
      </c>
      <c r="B2225">
        <v>1.1339999999999999</v>
      </c>
    </row>
    <row r="2226" spans="1:2" x14ac:dyDescent="0.15">
      <c r="A2226" s="22">
        <v>43992</v>
      </c>
      <c r="B2226">
        <v>1.1369</v>
      </c>
    </row>
    <row r="2227" spans="1:2" x14ac:dyDescent="0.15">
      <c r="A2227" s="22">
        <v>43993</v>
      </c>
      <c r="B2227">
        <v>1.1296999999999999</v>
      </c>
    </row>
    <row r="2228" spans="1:2" x14ac:dyDescent="0.15">
      <c r="A2228" s="22">
        <v>43994</v>
      </c>
      <c r="B2228">
        <v>1.1254</v>
      </c>
    </row>
    <row r="2229" spans="1:2" x14ac:dyDescent="0.15">
      <c r="A2229" s="22">
        <v>43997</v>
      </c>
      <c r="B2229">
        <v>1.1322000000000001</v>
      </c>
    </row>
    <row r="2230" spans="1:2" x14ac:dyDescent="0.15">
      <c r="A2230" s="22">
        <v>43998</v>
      </c>
      <c r="B2230">
        <v>1.1263000000000001</v>
      </c>
    </row>
    <row r="2231" spans="1:2" x14ac:dyDescent="0.15">
      <c r="A2231" s="22">
        <v>43999</v>
      </c>
      <c r="B2231">
        <v>1.1243000000000001</v>
      </c>
    </row>
    <row r="2232" spans="1:2" x14ac:dyDescent="0.15">
      <c r="A2232" s="22">
        <v>44000</v>
      </c>
      <c r="B2232">
        <v>1.1202000000000001</v>
      </c>
    </row>
    <row r="2233" spans="1:2" x14ac:dyDescent="0.15">
      <c r="A2233" s="22">
        <v>44001</v>
      </c>
      <c r="B2233">
        <v>1.1174999999999999</v>
      </c>
    </row>
    <row r="2234" spans="1:2" x14ac:dyDescent="0.15">
      <c r="A2234" s="22">
        <v>44004</v>
      </c>
      <c r="B2234">
        <v>1.1257999999999999</v>
      </c>
    </row>
    <row r="2235" spans="1:2" x14ac:dyDescent="0.15">
      <c r="A2235" s="22">
        <v>44005</v>
      </c>
      <c r="B2235">
        <v>1.1306</v>
      </c>
    </row>
    <row r="2236" spans="1:2" x14ac:dyDescent="0.15">
      <c r="A2236" s="22">
        <v>44006</v>
      </c>
      <c r="B2236">
        <v>1.125</v>
      </c>
    </row>
    <row r="2237" spans="1:2" x14ac:dyDescent="0.15">
      <c r="A2237" s="22">
        <v>44007</v>
      </c>
      <c r="B2237">
        <v>1.1216999999999999</v>
      </c>
    </row>
    <row r="2238" spans="1:2" x14ac:dyDescent="0.15">
      <c r="A2238" s="22">
        <v>44008</v>
      </c>
      <c r="B2238">
        <v>1.1216999999999999</v>
      </c>
    </row>
    <row r="2239" spans="1:2" x14ac:dyDescent="0.15">
      <c r="A2239" s="22">
        <v>44011</v>
      </c>
      <c r="B2239">
        <v>1.1240000000000001</v>
      </c>
    </row>
    <row r="2240" spans="1:2" x14ac:dyDescent="0.15">
      <c r="A2240" s="22">
        <v>44012</v>
      </c>
      <c r="B2240">
        <v>1.1231</v>
      </c>
    </row>
    <row r="2241" spans="1:2" x14ac:dyDescent="0.15">
      <c r="A2241" s="22">
        <v>44013</v>
      </c>
      <c r="B2241">
        <v>1.125</v>
      </c>
    </row>
    <row r="2242" spans="1:2" x14ac:dyDescent="0.15">
      <c r="A2242" s="22">
        <v>44014</v>
      </c>
      <c r="B2242">
        <v>1.1237999999999999</v>
      </c>
    </row>
    <row r="2243" spans="1:2" x14ac:dyDescent="0.15">
      <c r="A2243" s="22">
        <v>44015</v>
      </c>
      <c r="B2243">
        <v>1.1248</v>
      </c>
    </row>
    <row r="2244" spans="1:2" x14ac:dyDescent="0.15">
      <c r="A2244" s="22">
        <v>44018</v>
      </c>
      <c r="B2244">
        <v>1.1308</v>
      </c>
    </row>
    <row r="2245" spans="1:2" x14ac:dyDescent="0.15">
      <c r="A2245" s="22">
        <v>44019</v>
      </c>
      <c r="B2245">
        <v>1.127</v>
      </c>
    </row>
    <row r="2246" spans="1:2" x14ac:dyDescent="0.15">
      <c r="A2246" s="22">
        <v>44020</v>
      </c>
      <c r="B2246">
        <v>1.1329</v>
      </c>
    </row>
    <row r="2247" spans="1:2" x14ac:dyDescent="0.15">
      <c r="A2247" s="22">
        <v>44021</v>
      </c>
      <c r="B2247">
        <v>1.1281000000000001</v>
      </c>
    </row>
    <row r="2248" spans="1:2" x14ac:dyDescent="0.15">
      <c r="A2248" s="22">
        <v>44022</v>
      </c>
      <c r="B2248">
        <v>1.1297999999999999</v>
      </c>
    </row>
    <row r="2249" spans="1:2" x14ac:dyDescent="0.15">
      <c r="A2249" s="22">
        <v>44025</v>
      </c>
      <c r="B2249">
        <v>1.1339999999999999</v>
      </c>
    </row>
    <row r="2250" spans="1:2" x14ac:dyDescent="0.15">
      <c r="A2250" s="22">
        <v>44026</v>
      </c>
      <c r="B2250">
        <v>1.1395999999999999</v>
      </c>
    </row>
    <row r="2251" spans="1:2" x14ac:dyDescent="0.15">
      <c r="A2251" s="22">
        <v>44027</v>
      </c>
      <c r="B2251">
        <v>1.141</v>
      </c>
    </row>
    <row r="2252" spans="1:2" x14ac:dyDescent="0.15">
      <c r="A2252" s="22">
        <v>44028</v>
      </c>
      <c r="B2252">
        <v>1.1383000000000001</v>
      </c>
    </row>
    <row r="2253" spans="1:2" x14ac:dyDescent="0.15">
      <c r="A2253" s="22">
        <v>44029</v>
      </c>
      <c r="B2253">
        <v>1.1426000000000001</v>
      </c>
    </row>
    <row r="2254" spans="1:2" x14ac:dyDescent="0.15">
      <c r="A2254" s="22">
        <v>44032</v>
      </c>
      <c r="B2254">
        <v>1.1444000000000001</v>
      </c>
    </row>
    <row r="2255" spans="1:2" x14ac:dyDescent="0.15">
      <c r="A2255" s="22">
        <v>44033</v>
      </c>
      <c r="B2255">
        <v>1.1526000000000001</v>
      </c>
    </row>
    <row r="2256" spans="1:2" x14ac:dyDescent="0.15">
      <c r="A2256" s="22">
        <v>44034</v>
      </c>
      <c r="B2256">
        <v>1.1568000000000001</v>
      </c>
    </row>
    <row r="2257" spans="1:2" x14ac:dyDescent="0.15">
      <c r="A2257" s="22">
        <v>44035</v>
      </c>
      <c r="B2257">
        <v>1.1594</v>
      </c>
    </row>
    <row r="2258" spans="1:2" x14ac:dyDescent="0.15">
      <c r="A2258" s="22">
        <v>44036</v>
      </c>
      <c r="B2258">
        <v>1.1654</v>
      </c>
    </row>
    <row r="2259" spans="1:2" x14ac:dyDescent="0.15">
      <c r="A2259" s="22">
        <v>44039</v>
      </c>
      <c r="B2259">
        <v>1.1751</v>
      </c>
    </row>
    <row r="2260" spans="1:2" x14ac:dyDescent="0.15">
      <c r="A2260" s="22">
        <v>44040</v>
      </c>
      <c r="B2260">
        <v>1.1714</v>
      </c>
    </row>
    <row r="2261" spans="1:2" x14ac:dyDescent="0.15">
      <c r="A2261" s="22">
        <v>44041</v>
      </c>
      <c r="B2261">
        <v>1.179</v>
      </c>
    </row>
    <row r="2262" spans="1:2" x14ac:dyDescent="0.15">
      <c r="A2262" s="22">
        <v>44042</v>
      </c>
      <c r="B2262">
        <v>1.1846000000000001</v>
      </c>
    </row>
    <row r="2263" spans="1:2" x14ac:dyDescent="0.15">
      <c r="A2263" s="22">
        <v>44043</v>
      </c>
      <c r="B2263">
        <v>1.1774</v>
      </c>
    </row>
    <row r="2264" spans="1:2" x14ac:dyDescent="0.15">
      <c r="A2264" s="22">
        <v>44046</v>
      </c>
      <c r="B2264">
        <v>1.1760999999999999</v>
      </c>
    </row>
    <row r="2265" spans="1:2" x14ac:dyDescent="0.15">
      <c r="A2265" s="22">
        <v>44047</v>
      </c>
      <c r="B2265">
        <v>1.18</v>
      </c>
    </row>
    <row r="2266" spans="1:2" x14ac:dyDescent="0.15">
      <c r="A2266" s="22">
        <v>44048</v>
      </c>
      <c r="B2266">
        <v>1.1860999999999999</v>
      </c>
    </row>
    <row r="2267" spans="1:2" x14ac:dyDescent="0.15">
      <c r="A2267" s="22">
        <v>44049</v>
      </c>
      <c r="B2267">
        <v>1.1875</v>
      </c>
    </row>
    <row r="2268" spans="1:2" x14ac:dyDescent="0.15">
      <c r="A2268" s="22">
        <v>44050</v>
      </c>
      <c r="B2268">
        <v>1.1786000000000001</v>
      </c>
    </row>
    <row r="2269" spans="1:2" x14ac:dyDescent="0.15">
      <c r="A2269" s="22">
        <v>44053</v>
      </c>
      <c r="B2269">
        <v>1.1736</v>
      </c>
    </row>
    <row r="2270" spans="1:2" x14ac:dyDescent="0.15">
      <c r="A2270" s="22">
        <v>44054</v>
      </c>
      <c r="B2270">
        <v>1.1738999999999999</v>
      </c>
    </row>
    <row r="2271" spans="1:2" x14ac:dyDescent="0.15">
      <c r="A2271" s="22">
        <v>44055</v>
      </c>
      <c r="B2271">
        <v>1.1781999999999999</v>
      </c>
    </row>
    <row r="2272" spans="1:2" x14ac:dyDescent="0.15">
      <c r="A2272" s="22">
        <v>44056</v>
      </c>
      <c r="B2272">
        <v>1.1812</v>
      </c>
    </row>
    <row r="2273" spans="1:2" x14ac:dyDescent="0.15">
      <c r="A2273" s="22">
        <v>44057</v>
      </c>
      <c r="B2273">
        <v>1.1840999999999999</v>
      </c>
    </row>
    <row r="2274" spans="1:2" x14ac:dyDescent="0.15">
      <c r="A2274" s="22">
        <v>44060</v>
      </c>
      <c r="B2274">
        <v>1.1869000000000001</v>
      </c>
    </row>
    <row r="2275" spans="1:2" x14ac:dyDescent="0.15">
      <c r="A2275" s="22">
        <v>44061</v>
      </c>
      <c r="B2275">
        <v>1.1929000000000001</v>
      </c>
    </row>
    <row r="2276" spans="1:2" x14ac:dyDescent="0.15">
      <c r="A2276" s="22">
        <v>44062</v>
      </c>
      <c r="B2276">
        <v>1.1836</v>
      </c>
    </row>
    <row r="2277" spans="1:2" x14ac:dyDescent="0.15">
      <c r="A2277" s="22">
        <v>44063</v>
      </c>
      <c r="B2277">
        <v>1.1859</v>
      </c>
    </row>
    <row r="2278" spans="1:2" x14ac:dyDescent="0.15">
      <c r="A2278" s="22">
        <v>44064</v>
      </c>
      <c r="B2278">
        <v>1.1795</v>
      </c>
    </row>
    <row r="2279" spans="1:2" x14ac:dyDescent="0.15">
      <c r="A2279" s="22">
        <v>44067</v>
      </c>
      <c r="B2279">
        <v>1.1787000000000001</v>
      </c>
    </row>
    <row r="2280" spans="1:2" x14ac:dyDescent="0.15">
      <c r="A2280" s="22">
        <v>44068</v>
      </c>
      <c r="B2280">
        <v>1.1833</v>
      </c>
    </row>
    <row r="2281" spans="1:2" x14ac:dyDescent="0.15">
      <c r="A2281" s="22">
        <v>44069</v>
      </c>
      <c r="B2281">
        <v>1.1829000000000001</v>
      </c>
    </row>
    <row r="2282" spans="1:2" x14ac:dyDescent="0.15">
      <c r="A2282" s="22">
        <v>44070</v>
      </c>
      <c r="B2282">
        <v>1.1820999999999999</v>
      </c>
    </row>
    <row r="2283" spans="1:2" x14ac:dyDescent="0.15">
      <c r="A2283" s="22">
        <v>44071</v>
      </c>
      <c r="B2283">
        <v>1.1902999999999999</v>
      </c>
    </row>
    <row r="2284" spans="1:2" x14ac:dyDescent="0.15">
      <c r="A2284" s="22">
        <v>44074</v>
      </c>
      <c r="B2284">
        <v>1.1936</v>
      </c>
    </row>
    <row r="2285" spans="1:2" x14ac:dyDescent="0.15">
      <c r="A2285" s="22">
        <v>44075</v>
      </c>
      <c r="B2285">
        <v>1.1910000000000001</v>
      </c>
    </row>
    <row r="2286" spans="1:2" x14ac:dyDescent="0.15">
      <c r="A2286" s="22">
        <v>44076</v>
      </c>
      <c r="B2286">
        <v>1.1853</v>
      </c>
    </row>
    <row r="2287" spans="1:2" x14ac:dyDescent="0.15">
      <c r="A2287" s="22">
        <v>44077</v>
      </c>
      <c r="B2287">
        <v>1.1849000000000001</v>
      </c>
    </row>
    <row r="2288" spans="1:2" x14ac:dyDescent="0.15">
      <c r="A2288" s="22">
        <v>44078</v>
      </c>
      <c r="B2288">
        <v>1.1838</v>
      </c>
    </row>
    <row r="2289" spans="1:2" x14ac:dyDescent="0.15">
      <c r="A2289" s="22">
        <v>44081</v>
      </c>
      <c r="B2289">
        <v>1.1817</v>
      </c>
    </row>
    <row r="2290" spans="1:2" x14ac:dyDescent="0.15">
      <c r="A2290" s="22">
        <v>44082</v>
      </c>
      <c r="B2290">
        <v>1.1778999999999999</v>
      </c>
    </row>
    <row r="2291" spans="1:2" x14ac:dyDescent="0.15">
      <c r="A2291" s="22">
        <v>44083</v>
      </c>
      <c r="B2291">
        <v>1.1801999999999999</v>
      </c>
    </row>
    <row r="2292" spans="1:2" x14ac:dyDescent="0.15">
      <c r="A2292" s="22">
        <v>44084</v>
      </c>
      <c r="B2292">
        <v>1.1813</v>
      </c>
    </row>
    <row r="2293" spans="1:2" x14ac:dyDescent="0.15">
      <c r="A2293" s="22">
        <v>44085</v>
      </c>
      <c r="B2293">
        <v>1.1845000000000001</v>
      </c>
    </row>
    <row r="2294" spans="1:2" x14ac:dyDescent="0.15">
      <c r="A2294" s="22">
        <v>44088</v>
      </c>
      <c r="B2294">
        <v>1.1868000000000001</v>
      </c>
    </row>
    <row r="2295" spans="1:2" x14ac:dyDescent="0.15">
      <c r="A2295" s="22">
        <v>44089</v>
      </c>
      <c r="B2295">
        <v>1.1845000000000001</v>
      </c>
    </row>
    <row r="2296" spans="1:2" x14ac:dyDescent="0.15">
      <c r="A2296" s="22">
        <v>44090</v>
      </c>
      <c r="B2296">
        <v>1.1814</v>
      </c>
    </row>
    <row r="2297" spans="1:2" x14ac:dyDescent="0.15">
      <c r="A2297" s="22">
        <v>44091</v>
      </c>
      <c r="B2297">
        <v>1.1847000000000001</v>
      </c>
    </row>
    <row r="2298" spans="1:2" x14ac:dyDescent="0.15">
      <c r="A2298" s="22">
        <v>44092</v>
      </c>
      <c r="B2298">
        <v>1.1837</v>
      </c>
    </row>
    <row r="2299" spans="1:2" x14ac:dyDescent="0.15">
      <c r="A2299" s="22">
        <v>44095</v>
      </c>
      <c r="B2299">
        <v>1.1769000000000001</v>
      </c>
    </row>
    <row r="2300" spans="1:2" x14ac:dyDescent="0.15">
      <c r="A2300" s="22">
        <v>44096</v>
      </c>
      <c r="B2300">
        <v>1.1706000000000001</v>
      </c>
    </row>
    <row r="2301" spans="1:2" x14ac:dyDescent="0.15">
      <c r="A2301" s="22">
        <v>44097</v>
      </c>
      <c r="B2301">
        <v>1.1658999999999999</v>
      </c>
    </row>
    <row r="2302" spans="1:2" x14ac:dyDescent="0.15">
      <c r="A2302" s="22">
        <v>44098</v>
      </c>
      <c r="B2302">
        <v>1.1672</v>
      </c>
    </row>
    <row r="2303" spans="1:2" x14ac:dyDescent="0.15">
      <c r="A2303" s="22">
        <v>44099</v>
      </c>
      <c r="B2303">
        <v>1.163</v>
      </c>
    </row>
    <row r="2304" spans="1:2" x14ac:dyDescent="0.15">
      <c r="A2304" s="22">
        <v>44102</v>
      </c>
      <c r="B2304">
        <v>1.1664000000000001</v>
      </c>
    </row>
    <row r="2305" spans="1:2" x14ac:dyDescent="0.15">
      <c r="A2305" s="22">
        <v>44103</v>
      </c>
      <c r="B2305">
        <v>1.1741999999999999</v>
      </c>
    </row>
    <row r="2306" spans="1:2" x14ac:dyDescent="0.15">
      <c r="A2306" s="22">
        <v>44104</v>
      </c>
      <c r="B2306">
        <v>1.1718</v>
      </c>
    </row>
    <row r="2307" spans="1:2" x14ac:dyDescent="0.15">
      <c r="A2307" s="22">
        <v>44105</v>
      </c>
      <c r="B2307">
        <v>1.1747000000000001</v>
      </c>
    </row>
    <row r="2308" spans="1:2" x14ac:dyDescent="0.15">
      <c r="A2308" s="22">
        <v>44106</v>
      </c>
      <c r="B2308">
        <v>1.1713</v>
      </c>
    </row>
    <row r="2309" spans="1:2" x14ac:dyDescent="0.15">
      <c r="A2309" s="22">
        <v>44109</v>
      </c>
      <c r="B2309">
        <v>1.1780999999999999</v>
      </c>
    </row>
    <row r="2310" spans="1:2" x14ac:dyDescent="0.15">
      <c r="A2310" s="22">
        <v>44110</v>
      </c>
      <c r="B2310">
        <v>1.1734</v>
      </c>
    </row>
    <row r="2311" spans="1:2" x14ac:dyDescent="0.15">
      <c r="A2311" s="22">
        <v>44111</v>
      </c>
      <c r="B2311">
        <v>1.1759999999999999</v>
      </c>
    </row>
    <row r="2312" spans="1:2" x14ac:dyDescent="0.15">
      <c r="A2312" s="22">
        <v>44112</v>
      </c>
      <c r="B2312">
        <v>1.1758</v>
      </c>
    </row>
    <row r="2313" spans="1:2" x14ac:dyDescent="0.15">
      <c r="A2313" s="22">
        <v>44113</v>
      </c>
      <c r="B2313">
        <v>1.1823999999999999</v>
      </c>
    </row>
    <row r="2314" spans="1:2" x14ac:dyDescent="0.15">
      <c r="A2314" s="22">
        <v>44116</v>
      </c>
      <c r="B2314">
        <v>1.1813</v>
      </c>
    </row>
    <row r="2315" spans="1:2" x14ac:dyDescent="0.15">
      <c r="A2315" s="22">
        <v>44117</v>
      </c>
      <c r="B2315">
        <v>1.1744000000000001</v>
      </c>
    </row>
    <row r="2316" spans="1:2" x14ac:dyDescent="0.15">
      <c r="A2316" s="22">
        <v>44118</v>
      </c>
      <c r="B2316">
        <v>1.1746000000000001</v>
      </c>
    </row>
    <row r="2317" spans="1:2" x14ac:dyDescent="0.15">
      <c r="A2317" s="22">
        <v>44119</v>
      </c>
      <c r="B2317">
        <v>1.1706000000000001</v>
      </c>
    </row>
    <row r="2318" spans="1:2" x14ac:dyDescent="0.15">
      <c r="A2318" s="22">
        <v>44120</v>
      </c>
      <c r="B2318">
        <v>1.1718</v>
      </c>
    </row>
    <row r="2319" spans="1:2" x14ac:dyDescent="0.15">
      <c r="A2319" s="22">
        <v>44123</v>
      </c>
      <c r="B2319">
        <v>1.1766000000000001</v>
      </c>
    </row>
    <row r="2320" spans="1:2" x14ac:dyDescent="0.15">
      <c r="A2320" s="22">
        <v>44124</v>
      </c>
      <c r="B2320">
        <v>1.1820999999999999</v>
      </c>
    </row>
    <row r="2321" spans="1:2" x14ac:dyDescent="0.15">
      <c r="A2321" s="22">
        <v>44125</v>
      </c>
      <c r="B2321">
        <v>1.1860999999999999</v>
      </c>
    </row>
    <row r="2322" spans="1:2" x14ac:dyDescent="0.15">
      <c r="A2322" s="22">
        <v>44126</v>
      </c>
      <c r="B2322">
        <v>1.1816</v>
      </c>
    </row>
    <row r="2323" spans="1:2" x14ac:dyDescent="0.15">
      <c r="A2323" s="22">
        <v>44127</v>
      </c>
      <c r="B2323">
        <v>1.1859</v>
      </c>
    </row>
    <row r="2324" spans="1:2" x14ac:dyDescent="0.15">
      <c r="A2324" s="22">
        <v>44130</v>
      </c>
      <c r="B2324">
        <v>1.1808000000000001</v>
      </c>
    </row>
    <row r="2325" spans="1:2" x14ac:dyDescent="0.15">
      <c r="A2325" s="22">
        <v>44131</v>
      </c>
      <c r="B2325">
        <v>1.1795</v>
      </c>
    </row>
    <row r="2326" spans="1:2" x14ac:dyDescent="0.15">
      <c r="A2326" s="22">
        <v>44132</v>
      </c>
      <c r="B2326">
        <v>1.1744000000000001</v>
      </c>
    </row>
    <row r="2327" spans="1:2" x14ac:dyDescent="0.15">
      <c r="A2327" s="22">
        <v>44133</v>
      </c>
      <c r="B2327">
        <v>1.1674</v>
      </c>
    </row>
    <row r="2328" spans="1:2" x14ac:dyDescent="0.15">
      <c r="A2328" s="22">
        <v>44134</v>
      </c>
      <c r="B2328">
        <v>1.1647000000000001</v>
      </c>
    </row>
    <row r="2329" spans="1:2" x14ac:dyDescent="0.15">
      <c r="A2329" s="22">
        <v>44137</v>
      </c>
      <c r="B2329">
        <v>1.1639999999999999</v>
      </c>
    </row>
    <row r="2330" spans="1:2" x14ac:dyDescent="0.15">
      <c r="A2330" s="22">
        <v>44138</v>
      </c>
      <c r="B2330">
        <v>1.1711</v>
      </c>
    </row>
    <row r="2331" spans="1:2" x14ac:dyDescent="0.15">
      <c r="A2331" s="22">
        <v>44139</v>
      </c>
      <c r="B2331">
        <v>1.1721999999999999</v>
      </c>
    </row>
    <row r="2332" spans="1:2" x14ac:dyDescent="0.15">
      <c r="A2332" s="22">
        <v>44140</v>
      </c>
      <c r="B2332">
        <v>1.1820999999999999</v>
      </c>
    </row>
    <row r="2333" spans="1:2" x14ac:dyDescent="0.15">
      <c r="A2333" s="22">
        <v>44141</v>
      </c>
      <c r="B2333">
        <v>1.1872</v>
      </c>
    </row>
    <row r="2334" spans="1:2" x14ac:dyDescent="0.15">
      <c r="A2334" s="22">
        <v>44144</v>
      </c>
      <c r="B2334">
        <v>1.1813</v>
      </c>
    </row>
    <row r="2335" spans="1:2" x14ac:dyDescent="0.15">
      <c r="A2335" s="22">
        <v>44145</v>
      </c>
      <c r="B2335">
        <v>1.1814</v>
      </c>
    </row>
    <row r="2336" spans="1:2" x14ac:dyDescent="0.15">
      <c r="A2336" s="22">
        <v>44146</v>
      </c>
      <c r="B2336">
        <v>1.1777</v>
      </c>
    </row>
    <row r="2337" spans="1:2" x14ac:dyDescent="0.15">
      <c r="A2337" s="22">
        <v>44147</v>
      </c>
      <c r="B2337">
        <v>1.1803999999999999</v>
      </c>
    </row>
    <row r="2338" spans="1:2" x14ac:dyDescent="0.15">
      <c r="A2338" s="22">
        <v>44148</v>
      </c>
      <c r="B2338">
        <v>1.1832</v>
      </c>
    </row>
    <row r="2339" spans="1:2" x14ac:dyDescent="0.15">
      <c r="A2339" s="22">
        <v>44151</v>
      </c>
      <c r="B2339">
        <v>1.1853</v>
      </c>
    </row>
    <row r="2340" spans="1:2" x14ac:dyDescent="0.15">
      <c r="A2340" s="22">
        <v>44152</v>
      </c>
      <c r="B2340">
        <v>1.1860999999999999</v>
      </c>
    </row>
    <row r="2341" spans="1:2" x14ac:dyDescent="0.15">
      <c r="A2341" s="22">
        <v>44153</v>
      </c>
      <c r="B2341">
        <v>1.1852</v>
      </c>
    </row>
    <row r="2342" spans="1:2" x14ac:dyDescent="0.15">
      <c r="A2342" s="22">
        <v>44154</v>
      </c>
      <c r="B2342">
        <v>1.1873</v>
      </c>
    </row>
    <row r="2343" spans="1:2" x14ac:dyDescent="0.15">
      <c r="A2343" s="22">
        <v>44155</v>
      </c>
      <c r="B2343">
        <v>1.1853</v>
      </c>
    </row>
    <row r="2344" spans="1:2" x14ac:dyDescent="0.15">
      <c r="A2344" s="22">
        <v>44158</v>
      </c>
      <c r="B2344">
        <v>1.1839999999999999</v>
      </c>
    </row>
    <row r="2345" spans="1:2" x14ac:dyDescent="0.15">
      <c r="A2345" s="22">
        <v>44159</v>
      </c>
      <c r="B2345">
        <v>1.1888000000000001</v>
      </c>
    </row>
    <row r="2346" spans="1:2" x14ac:dyDescent="0.15">
      <c r="A2346" s="22">
        <v>44160</v>
      </c>
      <c r="B2346">
        <v>1.1913</v>
      </c>
    </row>
    <row r="2347" spans="1:2" x14ac:dyDescent="0.15">
      <c r="A2347" s="22">
        <v>44161</v>
      </c>
      <c r="B2347">
        <v>1.1913</v>
      </c>
    </row>
    <row r="2348" spans="1:2" x14ac:dyDescent="0.15">
      <c r="A2348" s="22">
        <v>44162</v>
      </c>
      <c r="B2348">
        <v>1.1961999999999999</v>
      </c>
    </row>
    <row r="2349" spans="1:2" x14ac:dyDescent="0.15">
      <c r="A2349" s="22">
        <v>44165</v>
      </c>
      <c r="B2349">
        <v>1.1928000000000001</v>
      </c>
    </row>
    <row r="2350" spans="1:2" x14ac:dyDescent="0.15">
      <c r="A2350" s="22">
        <v>44166</v>
      </c>
      <c r="B2350">
        <v>1.2070000000000001</v>
      </c>
    </row>
    <row r="2351" spans="1:2" x14ac:dyDescent="0.15">
      <c r="A2351" s="22">
        <v>44167</v>
      </c>
      <c r="B2351">
        <v>1.2115</v>
      </c>
    </row>
    <row r="2352" spans="1:2" x14ac:dyDescent="0.15">
      <c r="A2352" s="22">
        <v>44168</v>
      </c>
      <c r="B2352">
        <v>1.214</v>
      </c>
    </row>
    <row r="2353" spans="1:2" x14ac:dyDescent="0.15">
      <c r="A2353" s="22">
        <v>44169</v>
      </c>
      <c r="B2353">
        <v>1.212</v>
      </c>
    </row>
    <row r="2354" spans="1:2" x14ac:dyDescent="0.15">
      <c r="A2354" s="22">
        <v>44172</v>
      </c>
      <c r="B2354">
        <v>1.2108000000000001</v>
      </c>
    </row>
    <row r="2355" spans="1:2" x14ac:dyDescent="0.15">
      <c r="A2355" s="22">
        <v>44173</v>
      </c>
      <c r="B2355">
        <v>1.2101</v>
      </c>
    </row>
    <row r="2356" spans="1:2" x14ac:dyDescent="0.15">
      <c r="A2356" s="22">
        <v>44174</v>
      </c>
      <c r="B2356">
        <v>1.2081</v>
      </c>
    </row>
    <row r="2357" spans="1:2" x14ac:dyDescent="0.15">
      <c r="A2357" s="22">
        <v>44175</v>
      </c>
      <c r="B2357">
        <v>1.2136</v>
      </c>
    </row>
    <row r="2358" spans="1:2" x14ac:dyDescent="0.15">
      <c r="A2358" s="22">
        <v>44176</v>
      </c>
      <c r="B2358">
        <v>1.2111000000000001</v>
      </c>
    </row>
    <row r="2359" spans="1:2" x14ac:dyDescent="0.15">
      <c r="A2359" s="22">
        <v>44179</v>
      </c>
      <c r="B2359">
        <v>1.2142999999999999</v>
      </c>
    </row>
    <row r="2360" spans="1:2" x14ac:dyDescent="0.15">
      <c r="A2360" s="22">
        <v>44180</v>
      </c>
      <c r="B2360">
        <v>1.2151000000000001</v>
      </c>
    </row>
    <row r="2361" spans="1:2" x14ac:dyDescent="0.15">
      <c r="A2361" s="22">
        <v>44181</v>
      </c>
      <c r="B2361">
        <v>1.2197</v>
      </c>
    </row>
    <row r="2362" spans="1:2" x14ac:dyDescent="0.15">
      <c r="A2362" s="22">
        <v>44182</v>
      </c>
      <c r="B2362">
        <v>1.2265999999999999</v>
      </c>
    </row>
    <row r="2363" spans="1:2" x14ac:dyDescent="0.15">
      <c r="A2363" s="22">
        <v>44183</v>
      </c>
      <c r="B2363">
        <v>1.2255</v>
      </c>
    </row>
    <row r="2364" spans="1:2" x14ac:dyDescent="0.15">
      <c r="A2364" s="22">
        <v>44186</v>
      </c>
      <c r="B2364">
        <v>1.2242</v>
      </c>
    </row>
    <row r="2365" spans="1:2" x14ac:dyDescent="0.15">
      <c r="A2365" s="22">
        <v>44187</v>
      </c>
      <c r="B2365">
        <v>1.2161</v>
      </c>
    </row>
    <row r="2366" spans="1:2" x14ac:dyDescent="0.15">
      <c r="A2366" s="22">
        <v>44188</v>
      </c>
      <c r="B2366">
        <v>1.2184999999999999</v>
      </c>
    </row>
    <row r="2367" spans="1:2" x14ac:dyDescent="0.15">
      <c r="A2367" s="22">
        <v>44189</v>
      </c>
      <c r="B2367">
        <v>1.2185999999999999</v>
      </c>
    </row>
    <row r="2368" spans="1:2" x14ac:dyDescent="0.15">
      <c r="A2368" s="22">
        <v>44190</v>
      </c>
      <c r="B2368">
        <v>1.2203999999999999</v>
      </c>
    </row>
    <row r="2369" spans="1:2" x14ac:dyDescent="0.15">
      <c r="A2369" s="22">
        <v>44193</v>
      </c>
      <c r="B2369">
        <v>1.2214</v>
      </c>
    </row>
    <row r="2370" spans="1:2" x14ac:dyDescent="0.15">
      <c r="A2370" s="22">
        <v>44194</v>
      </c>
      <c r="B2370">
        <v>1.2246999999999999</v>
      </c>
    </row>
    <row r="2371" spans="1:2" x14ac:dyDescent="0.15">
      <c r="A2371" s="22">
        <v>44195</v>
      </c>
      <c r="B2371">
        <v>1.2295</v>
      </c>
    </row>
    <row r="2372" spans="1:2" x14ac:dyDescent="0.15">
      <c r="A2372" s="22">
        <v>44196</v>
      </c>
      <c r="B2372">
        <v>1.2213000000000001</v>
      </c>
    </row>
    <row r="2373" spans="1:2" x14ac:dyDescent="0.15">
      <c r="A2373" s="22">
        <v>44197</v>
      </c>
      <c r="B2373">
        <v>1.2212000000000001</v>
      </c>
    </row>
    <row r="2374" spans="1:2" x14ac:dyDescent="0.15">
      <c r="A2374" s="22">
        <v>44200</v>
      </c>
      <c r="B2374">
        <v>1.2248000000000001</v>
      </c>
    </row>
    <row r="2375" spans="1:2" x14ac:dyDescent="0.15">
      <c r="A2375" s="22">
        <v>44201</v>
      </c>
      <c r="B2375">
        <v>1.2294</v>
      </c>
    </row>
    <row r="2376" spans="1:2" x14ac:dyDescent="0.15">
      <c r="A2376" s="22">
        <v>44202</v>
      </c>
      <c r="B2376">
        <v>1.2324999999999999</v>
      </c>
    </row>
    <row r="2377" spans="1:2" x14ac:dyDescent="0.15">
      <c r="A2377" s="22">
        <v>44203</v>
      </c>
      <c r="B2377">
        <v>1.2270000000000001</v>
      </c>
    </row>
    <row r="2378" spans="1:2" x14ac:dyDescent="0.15">
      <c r="A2378" s="22">
        <v>44204</v>
      </c>
      <c r="B2378">
        <v>1.2218</v>
      </c>
    </row>
    <row r="2379" spans="1:2" x14ac:dyDescent="0.15">
      <c r="A2379" s="22">
        <v>44207</v>
      </c>
      <c r="B2379">
        <v>1.2149000000000001</v>
      </c>
    </row>
    <row r="2380" spans="1:2" x14ac:dyDescent="0.15">
      <c r="A2380" s="22">
        <v>44208</v>
      </c>
      <c r="B2380">
        <v>1.2206999999999999</v>
      </c>
    </row>
    <row r="2381" spans="1:2" x14ac:dyDescent="0.15">
      <c r="A2381" s="22">
        <v>44209</v>
      </c>
      <c r="B2381">
        <v>1.2157</v>
      </c>
    </row>
    <row r="2382" spans="1:2" x14ac:dyDescent="0.15">
      <c r="A2382" s="22">
        <v>44210</v>
      </c>
      <c r="B2382">
        <v>1.2156</v>
      </c>
    </row>
    <row r="2383" spans="1:2" x14ac:dyDescent="0.15">
      <c r="A2383" s="22">
        <v>44211</v>
      </c>
      <c r="B2383">
        <v>1.2078</v>
      </c>
    </row>
    <row r="2384" spans="1:2" x14ac:dyDescent="0.15">
      <c r="A2384" s="22">
        <v>44214</v>
      </c>
      <c r="B2384">
        <v>1.2076</v>
      </c>
    </row>
    <row r="2385" spans="1:2" x14ac:dyDescent="0.15">
      <c r="A2385" s="22">
        <v>44215</v>
      </c>
      <c r="B2385">
        <v>1.2128000000000001</v>
      </c>
    </row>
    <row r="2386" spans="1:2" x14ac:dyDescent="0.15">
      <c r="A2386" s="22">
        <v>44216</v>
      </c>
      <c r="B2386">
        <v>1.2103999999999999</v>
      </c>
    </row>
    <row r="2387" spans="1:2" x14ac:dyDescent="0.15">
      <c r="A2387" s="22">
        <v>44217</v>
      </c>
      <c r="B2387">
        <v>1.2161999999999999</v>
      </c>
    </row>
    <row r="2388" spans="1:2" x14ac:dyDescent="0.15">
      <c r="A2388" s="22">
        <v>44218</v>
      </c>
      <c r="B2388">
        <v>1.2166999999999999</v>
      </c>
    </row>
    <row r="2389" spans="1:2" x14ac:dyDescent="0.15">
      <c r="A2389" s="22">
        <v>44221</v>
      </c>
      <c r="B2389">
        <v>1.2137</v>
      </c>
    </row>
    <row r="2390" spans="1:2" x14ac:dyDescent="0.15">
      <c r="A2390" s="22">
        <v>44222</v>
      </c>
      <c r="B2390">
        <v>1.216</v>
      </c>
    </row>
    <row r="2391" spans="1:2" x14ac:dyDescent="0.15">
      <c r="A2391" s="22">
        <v>44223</v>
      </c>
      <c r="B2391">
        <v>1.2108000000000001</v>
      </c>
    </row>
    <row r="2392" spans="1:2" x14ac:dyDescent="0.15">
      <c r="A2392" s="22">
        <v>44224</v>
      </c>
      <c r="B2392">
        <v>1.2121</v>
      </c>
    </row>
    <row r="2393" spans="1:2" x14ac:dyDescent="0.15">
      <c r="A2393" s="22">
        <v>44225</v>
      </c>
      <c r="B2393">
        <v>1.2136</v>
      </c>
    </row>
    <row r="2394" spans="1:2" x14ac:dyDescent="0.15">
      <c r="A2394" s="22">
        <v>44228</v>
      </c>
      <c r="B2394">
        <v>1.2059</v>
      </c>
    </row>
    <row r="2395" spans="1:2" x14ac:dyDescent="0.15">
      <c r="A2395" s="22">
        <v>44229</v>
      </c>
      <c r="B2395">
        <v>1.2041999999999999</v>
      </c>
    </row>
    <row r="2396" spans="1:2" x14ac:dyDescent="0.15">
      <c r="A2396" s="22">
        <v>44230</v>
      </c>
      <c r="B2396">
        <v>1.2034</v>
      </c>
    </row>
    <row r="2397" spans="1:2" x14ac:dyDescent="0.15">
      <c r="A2397" s="22">
        <v>44231</v>
      </c>
      <c r="B2397">
        <v>1.1961999999999999</v>
      </c>
    </row>
    <row r="2398" spans="1:2" x14ac:dyDescent="0.15">
      <c r="A2398" s="22">
        <v>44232</v>
      </c>
      <c r="B2398">
        <v>1.2041999999999999</v>
      </c>
    </row>
    <row r="2399" spans="1:2" x14ac:dyDescent="0.15">
      <c r="A2399" s="22">
        <v>44235</v>
      </c>
      <c r="B2399">
        <v>1.2048000000000001</v>
      </c>
    </row>
    <row r="2400" spans="1:2" x14ac:dyDescent="0.15">
      <c r="A2400" s="22">
        <v>44236</v>
      </c>
      <c r="B2400">
        <v>1.2117</v>
      </c>
    </row>
    <row r="2401" spans="1:2" x14ac:dyDescent="0.15">
      <c r="A2401" s="22">
        <v>44237</v>
      </c>
      <c r="B2401">
        <v>1.2116</v>
      </c>
    </row>
    <row r="2402" spans="1:2" x14ac:dyDescent="0.15">
      <c r="A2402" s="22">
        <v>44238</v>
      </c>
      <c r="B2402">
        <v>1.2128000000000001</v>
      </c>
    </row>
    <row r="2403" spans="1:2" x14ac:dyDescent="0.15">
      <c r="A2403" s="22">
        <v>44239</v>
      </c>
      <c r="B2403">
        <v>1.2118</v>
      </c>
    </row>
    <row r="2404" spans="1:2" x14ac:dyDescent="0.15">
      <c r="A2404" s="22">
        <v>44242</v>
      </c>
      <c r="B2404">
        <v>1.2126999999999999</v>
      </c>
    </row>
    <row r="2405" spans="1:2" x14ac:dyDescent="0.15">
      <c r="A2405" s="22">
        <v>44243</v>
      </c>
      <c r="B2405">
        <v>1.2103999999999999</v>
      </c>
    </row>
    <row r="2406" spans="1:2" x14ac:dyDescent="0.15">
      <c r="A2406" s="22">
        <v>44244</v>
      </c>
      <c r="B2406">
        <v>1.2036</v>
      </c>
    </row>
    <row r="2407" spans="1:2" x14ac:dyDescent="0.15">
      <c r="A2407" s="22">
        <v>44245</v>
      </c>
      <c r="B2407">
        <v>1.2088000000000001</v>
      </c>
    </row>
    <row r="2408" spans="1:2" x14ac:dyDescent="0.15">
      <c r="A2408" s="22">
        <v>44246</v>
      </c>
      <c r="B2408">
        <v>1.2117</v>
      </c>
    </row>
    <row r="2409" spans="1:2" x14ac:dyDescent="0.15">
      <c r="A2409" s="22">
        <v>44249</v>
      </c>
      <c r="B2409">
        <v>1.2154</v>
      </c>
    </row>
    <row r="2410" spans="1:2" x14ac:dyDescent="0.15">
      <c r="A2410" s="22">
        <v>44250</v>
      </c>
      <c r="B2410">
        <v>1.2149000000000001</v>
      </c>
    </row>
    <row r="2411" spans="1:2" x14ac:dyDescent="0.15">
      <c r="A2411" s="22">
        <v>44251</v>
      </c>
      <c r="B2411">
        <v>1.2163999999999999</v>
      </c>
    </row>
    <row r="2412" spans="1:2" x14ac:dyDescent="0.15">
      <c r="A2412" s="22">
        <v>44252</v>
      </c>
      <c r="B2412">
        <v>1.2176</v>
      </c>
    </row>
    <row r="2413" spans="1:2" x14ac:dyDescent="0.15">
      <c r="A2413" s="22">
        <v>44253</v>
      </c>
      <c r="B2413">
        <v>1.2074</v>
      </c>
    </row>
    <row r="2414" spans="1:2" x14ac:dyDescent="0.15">
      <c r="A2414" s="22">
        <v>44256</v>
      </c>
      <c r="B2414">
        <v>1.2047000000000001</v>
      </c>
    </row>
    <row r="2415" spans="1:2" x14ac:dyDescent="0.15">
      <c r="A2415" s="22">
        <v>44257</v>
      </c>
      <c r="B2415">
        <v>1.2089000000000001</v>
      </c>
    </row>
    <row r="2416" spans="1:2" x14ac:dyDescent="0.15">
      <c r="A2416" s="22">
        <v>44258</v>
      </c>
      <c r="B2416">
        <v>1.2061999999999999</v>
      </c>
    </row>
    <row r="2417" spans="1:2" x14ac:dyDescent="0.15">
      <c r="A2417" s="22">
        <v>44259</v>
      </c>
      <c r="B2417">
        <v>1.1966000000000001</v>
      </c>
    </row>
    <row r="2418" spans="1:2" x14ac:dyDescent="0.15">
      <c r="A2418" s="22">
        <v>44260</v>
      </c>
      <c r="B2418">
        <v>1.1917</v>
      </c>
    </row>
    <row r="2419" spans="1:2" x14ac:dyDescent="0.15">
      <c r="A2419" s="22">
        <v>44263</v>
      </c>
      <c r="B2419">
        <v>1.1842999999999999</v>
      </c>
    </row>
    <row r="2420" spans="1:2" x14ac:dyDescent="0.15">
      <c r="A2420" s="22">
        <v>44264</v>
      </c>
      <c r="B2420">
        <v>1.1898</v>
      </c>
    </row>
    <row r="2421" spans="1:2" x14ac:dyDescent="0.15">
      <c r="A2421" s="22">
        <v>44265</v>
      </c>
      <c r="B2421">
        <v>1.1924999999999999</v>
      </c>
    </row>
    <row r="2422" spans="1:2" x14ac:dyDescent="0.15">
      <c r="A2422" s="22">
        <v>44266</v>
      </c>
      <c r="B2422">
        <v>1.1983999999999999</v>
      </c>
    </row>
    <row r="2423" spans="1:2" x14ac:dyDescent="0.15">
      <c r="A2423" s="22">
        <v>44267</v>
      </c>
      <c r="B2423">
        <v>1.1952</v>
      </c>
    </row>
    <row r="2424" spans="1:2" x14ac:dyDescent="0.15">
      <c r="A2424" s="22">
        <v>44270</v>
      </c>
      <c r="B2424">
        <v>1.1928000000000001</v>
      </c>
    </row>
    <row r="2425" spans="1:2" x14ac:dyDescent="0.15">
      <c r="A2425" s="22">
        <v>44271</v>
      </c>
      <c r="B2425">
        <v>1.19</v>
      </c>
    </row>
    <row r="2426" spans="1:2" x14ac:dyDescent="0.15">
      <c r="A2426" s="22">
        <v>44272</v>
      </c>
      <c r="B2426">
        <v>1.1978</v>
      </c>
    </row>
    <row r="2427" spans="1:2" x14ac:dyDescent="0.15">
      <c r="A2427" s="22">
        <v>44273</v>
      </c>
      <c r="B2427">
        <v>1.1915</v>
      </c>
    </row>
    <row r="2428" spans="1:2" x14ac:dyDescent="0.15">
      <c r="A2428" s="22">
        <v>44274</v>
      </c>
      <c r="B2428">
        <v>1.1902999999999999</v>
      </c>
    </row>
    <row r="2429" spans="1:2" x14ac:dyDescent="0.15">
      <c r="A2429" s="22">
        <v>44277</v>
      </c>
      <c r="B2429">
        <v>1.1931</v>
      </c>
    </row>
    <row r="2430" spans="1:2" x14ac:dyDescent="0.15">
      <c r="A2430" s="22">
        <v>44278</v>
      </c>
      <c r="B2430">
        <v>1.1849000000000001</v>
      </c>
    </row>
    <row r="2431" spans="1:2" x14ac:dyDescent="0.15">
      <c r="A2431" s="22">
        <v>44279</v>
      </c>
      <c r="B2431">
        <v>1.1812</v>
      </c>
    </row>
    <row r="2432" spans="1:2" x14ac:dyDescent="0.15">
      <c r="A2432" s="22">
        <v>44280</v>
      </c>
      <c r="B2432">
        <v>1.1763999999999999</v>
      </c>
    </row>
    <row r="2433" spans="1:2" x14ac:dyDescent="0.15">
      <c r="A2433" s="22">
        <v>44281</v>
      </c>
      <c r="B2433">
        <v>1.1796</v>
      </c>
    </row>
    <row r="2434" spans="1:2" x14ac:dyDescent="0.15">
      <c r="A2434" s="22">
        <v>44284</v>
      </c>
      <c r="B2434">
        <v>1.1761999999999999</v>
      </c>
    </row>
    <row r="2435" spans="1:2" x14ac:dyDescent="0.15">
      <c r="A2435" s="22">
        <v>44285</v>
      </c>
      <c r="B2435">
        <v>1.1714</v>
      </c>
    </row>
    <row r="2436" spans="1:2" x14ac:dyDescent="0.15">
      <c r="A2436" s="22">
        <v>44286</v>
      </c>
      <c r="B2436">
        <v>1.1728000000000001</v>
      </c>
    </row>
    <row r="2437" spans="1:2" x14ac:dyDescent="0.15">
      <c r="A2437" s="22">
        <v>44287</v>
      </c>
      <c r="B2437">
        <v>1.1775</v>
      </c>
    </row>
    <row r="2438" spans="1:2" x14ac:dyDescent="0.15">
      <c r="A2438" s="22">
        <v>44288</v>
      </c>
      <c r="B2438">
        <v>1.1761999999999999</v>
      </c>
    </row>
    <row r="2439" spans="1:2" x14ac:dyDescent="0.15">
      <c r="A2439" s="22">
        <v>44291</v>
      </c>
      <c r="B2439">
        <v>1.1811</v>
      </c>
    </row>
    <row r="2440" spans="1:2" x14ac:dyDescent="0.15">
      <c r="A2440" s="22">
        <v>44292</v>
      </c>
      <c r="B2440">
        <v>1.1875</v>
      </c>
    </row>
    <row r="2441" spans="1:2" x14ac:dyDescent="0.15">
      <c r="A2441" s="22">
        <v>44293</v>
      </c>
      <c r="B2441">
        <v>1.1870000000000001</v>
      </c>
    </row>
    <row r="2442" spans="1:2" x14ac:dyDescent="0.15">
      <c r="A2442" s="22">
        <v>44294</v>
      </c>
      <c r="B2442">
        <v>1.1912</v>
      </c>
    </row>
    <row r="2443" spans="1:2" x14ac:dyDescent="0.15">
      <c r="A2443" s="22">
        <v>44295</v>
      </c>
      <c r="B2443">
        <v>1.1896</v>
      </c>
    </row>
    <row r="2444" spans="1:2" x14ac:dyDescent="0.15">
      <c r="A2444" s="22">
        <v>44298</v>
      </c>
      <c r="B2444">
        <v>1.1909000000000001</v>
      </c>
    </row>
    <row r="2445" spans="1:2" x14ac:dyDescent="0.15">
      <c r="A2445" s="22">
        <v>44299</v>
      </c>
      <c r="B2445">
        <v>1.1946000000000001</v>
      </c>
    </row>
    <row r="2446" spans="1:2" x14ac:dyDescent="0.15">
      <c r="A2446" s="22">
        <v>44300</v>
      </c>
      <c r="B2446">
        <v>1.1978</v>
      </c>
    </row>
    <row r="2447" spans="1:2" x14ac:dyDescent="0.15">
      <c r="A2447" s="22">
        <v>44301</v>
      </c>
      <c r="B2447">
        <v>1.1964999999999999</v>
      </c>
    </row>
    <row r="2448" spans="1:2" x14ac:dyDescent="0.15">
      <c r="A2448" s="22">
        <v>44302</v>
      </c>
      <c r="B2448">
        <v>1.1982999999999999</v>
      </c>
    </row>
    <row r="2449" spans="1:2" x14ac:dyDescent="0.15">
      <c r="A2449" s="22">
        <v>44305</v>
      </c>
      <c r="B2449">
        <v>1.2033</v>
      </c>
    </row>
    <row r="2450" spans="1:2" x14ac:dyDescent="0.15">
      <c r="A2450" s="22">
        <v>44306</v>
      </c>
      <c r="B2450">
        <v>1.2033</v>
      </c>
    </row>
    <row r="2451" spans="1:2" x14ac:dyDescent="0.15">
      <c r="A2451" s="22">
        <v>44307</v>
      </c>
      <c r="B2451">
        <v>1.2033</v>
      </c>
    </row>
    <row r="2452" spans="1:2" x14ac:dyDescent="0.15">
      <c r="A2452" s="22">
        <v>44308</v>
      </c>
      <c r="B2452">
        <v>1.2015</v>
      </c>
    </row>
    <row r="2453" spans="1:2" x14ac:dyDescent="0.15">
      <c r="A2453" s="22">
        <v>44309</v>
      </c>
      <c r="B2453">
        <v>1.2099</v>
      </c>
    </row>
    <row r="2454" spans="1:2" x14ac:dyDescent="0.15">
      <c r="A2454" s="22">
        <v>44312</v>
      </c>
      <c r="B2454">
        <v>1.2082999999999999</v>
      </c>
    </row>
    <row r="2455" spans="1:2" x14ac:dyDescent="0.15">
      <c r="A2455" s="22">
        <v>44313</v>
      </c>
      <c r="B2455">
        <v>1.2090000000000001</v>
      </c>
    </row>
    <row r="2456" spans="1:2" x14ac:dyDescent="0.15">
      <c r="A2456" s="22">
        <v>44314</v>
      </c>
      <c r="B2456">
        <v>1.2122999999999999</v>
      </c>
    </row>
    <row r="2457" spans="1:2" x14ac:dyDescent="0.15">
      <c r="A2457" s="22">
        <v>44315</v>
      </c>
      <c r="B2457">
        <v>1.2118</v>
      </c>
    </row>
    <row r="2458" spans="1:2" x14ac:dyDescent="0.15">
      <c r="A2458" s="22">
        <v>44316</v>
      </c>
      <c r="B2458">
        <v>1.2018</v>
      </c>
    </row>
    <row r="2459" spans="1:2" x14ac:dyDescent="0.15">
      <c r="A2459" s="22">
        <v>44319</v>
      </c>
      <c r="B2459">
        <v>1.2060999999999999</v>
      </c>
    </row>
    <row r="2460" spans="1:2" x14ac:dyDescent="0.15">
      <c r="A2460" s="22">
        <v>44320</v>
      </c>
      <c r="B2460">
        <v>1.2013</v>
      </c>
    </row>
    <row r="2461" spans="1:2" x14ac:dyDescent="0.15">
      <c r="A2461" s="22">
        <v>44321</v>
      </c>
      <c r="B2461">
        <v>1.2004999999999999</v>
      </c>
    </row>
    <row r="2462" spans="1:2" x14ac:dyDescent="0.15">
      <c r="A2462" s="22">
        <v>44322</v>
      </c>
      <c r="B2462">
        <v>1.2063999999999999</v>
      </c>
    </row>
    <row r="2463" spans="1:2" x14ac:dyDescent="0.15">
      <c r="A2463" s="22">
        <v>44323</v>
      </c>
      <c r="B2463">
        <v>1.2162999999999999</v>
      </c>
    </row>
    <row r="2464" spans="1:2" x14ac:dyDescent="0.15">
      <c r="A2464" s="22">
        <v>44326</v>
      </c>
      <c r="B2464">
        <v>1.2129000000000001</v>
      </c>
    </row>
    <row r="2465" spans="1:2" x14ac:dyDescent="0.15">
      <c r="A2465" s="22">
        <v>44327</v>
      </c>
      <c r="B2465">
        <v>1.2145999999999999</v>
      </c>
    </row>
    <row r="2466" spans="1:2" x14ac:dyDescent="0.15">
      <c r="A2466" s="22">
        <v>44328</v>
      </c>
      <c r="B2466">
        <v>1.2069000000000001</v>
      </c>
    </row>
    <row r="2467" spans="1:2" x14ac:dyDescent="0.15">
      <c r="A2467" s="22">
        <v>44329</v>
      </c>
      <c r="B2467">
        <v>1.2078</v>
      </c>
    </row>
    <row r="2468" spans="1:2" x14ac:dyDescent="0.15">
      <c r="A2468" s="22">
        <v>44330</v>
      </c>
      <c r="B2468">
        <v>1.214</v>
      </c>
    </row>
    <row r="2469" spans="1:2" x14ac:dyDescent="0.15">
      <c r="A2469" s="22">
        <v>44333</v>
      </c>
      <c r="B2469">
        <v>1.2151000000000001</v>
      </c>
    </row>
    <row r="2470" spans="1:2" x14ac:dyDescent="0.15">
      <c r="A2470" s="22">
        <v>44334</v>
      </c>
      <c r="B2470">
        <v>1.222</v>
      </c>
    </row>
    <row r="2471" spans="1:2" x14ac:dyDescent="0.15">
      <c r="A2471" s="22">
        <v>44335</v>
      </c>
      <c r="B2471">
        <v>1.2172000000000001</v>
      </c>
    </row>
    <row r="2472" spans="1:2" x14ac:dyDescent="0.15">
      <c r="A2472" s="22">
        <v>44336</v>
      </c>
      <c r="B2472">
        <v>1.2225999999999999</v>
      </c>
    </row>
    <row r="2473" spans="1:2" x14ac:dyDescent="0.15">
      <c r="A2473" s="22">
        <v>44337</v>
      </c>
      <c r="B2473">
        <v>1.2179</v>
      </c>
    </row>
    <row r="2474" spans="1:2" x14ac:dyDescent="0.15">
      <c r="A2474" s="22">
        <v>44340</v>
      </c>
      <c r="B2474">
        <v>1.2215</v>
      </c>
    </row>
    <row r="2475" spans="1:2" x14ac:dyDescent="0.15">
      <c r="A2475" s="22">
        <v>44341</v>
      </c>
      <c r="B2475">
        <v>1.2250000000000001</v>
      </c>
    </row>
    <row r="2476" spans="1:2" x14ac:dyDescent="0.15">
      <c r="A2476" s="22">
        <v>44342</v>
      </c>
      <c r="B2476">
        <v>1.2190000000000001</v>
      </c>
    </row>
    <row r="2477" spans="1:2" x14ac:dyDescent="0.15">
      <c r="A2477" s="22">
        <v>44343</v>
      </c>
      <c r="B2477">
        <v>1.2192000000000001</v>
      </c>
    </row>
    <row r="2478" spans="1:2" x14ac:dyDescent="0.15">
      <c r="A2478" s="22">
        <v>44344</v>
      </c>
      <c r="B2478">
        <v>1.2189000000000001</v>
      </c>
    </row>
    <row r="2479" spans="1:2" x14ac:dyDescent="0.15">
      <c r="A2479" s="22">
        <v>44347</v>
      </c>
      <c r="B2479">
        <v>1.2224999999999999</v>
      </c>
    </row>
    <row r="2480" spans="1:2" x14ac:dyDescent="0.15">
      <c r="A2480" s="22">
        <v>44348</v>
      </c>
      <c r="B2480">
        <v>1.2211000000000001</v>
      </c>
    </row>
    <row r="2481" spans="1:2" x14ac:dyDescent="0.15">
      <c r="A2481" s="22">
        <v>44349</v>
      </c>
      <c r="B2481">
        <v>1.2209000000000001</v>
      </c>
    </row>
    <row r="2482" spans="1:2" x14ac:dyDescent="0.15">
      <c r="A2482" s="22">
        <v>44350</v>
      </c>
      <c r="B2482">
        <v>1.2123999999999999</v>
      </c>
    </row>
    <row r="2483" spans="1:2" x14ac:dyDescent="0.15">
      <c r="A2483" s="22">
        <v>44351</v>
      </c>
      <c r="B2483">
        <v>1.2164999999999999</v>
      </c>
    </row>
    <row r="2484" spans="1:2" x14ac:dyDescent="0.15">
      <c r="A2484" s="22">
        <v>44354</v>
      </c>
      <c r="B2484">
        <v>1.2189000000000001</v>
      </c>
    </row>
    <row r="2485" spans="1:2" x14ac:dyDescent="0.15">
      <c r="A2485" s="22">
        <v>44355</v>
      </c>
      <c r="B2485">
        <v>1.2171000000000001</v>
      </c>
    </row>
    <row r="2486" spans="1:2" x14ac:dyDescent="0.15">
      <c r="A2486" s="22">
        <v>44356</v>
      </c>
      <c r="B2486">
        <v>1.2178</v>
      </c>
    </row>
    <row r="2487" spans="1:2" x14ac:dyDescent="0.15">
      <c r="A2487" s="22">
        <v>44357</v>
      </c>
      <c r="B2487">
        <v>1.2169000000000001</v>
      </c>
    </row>
    <row r="2488" spans="1:2" x14ac:dyDescent="0.15">
      <c r="A2488" s="22">
        <v>44358</v>
      </c>
      <c r="B2488">
        <v>1.2105999999999999</v>
      </c>
    </row>
    <row r="2489" spans="1:2" x14ac:dyDescent="0.15">
      <c r="A2489" s="22">
        <v>44361</v>
      </c>
      <c r="B2489">
        <v>1.2118</v>
      </c>
    </row>
    <row r="2490" spans="1:2" x14ac:dyDescent="0.15">
      <c r="A2490" s="22">
        <v>44362</v>
      </c>
      <c r="B2490">
        <v>1.2123999999999999</v>
      </c>
    </row>
    <row r="2491" spans="1:2" x14ac:dyDescent="0.15">
      <c r="A2491" s="22">
        <v>44363</v>
      </c>
      <c r="B2491">
        <v>1.1994</v>
      </c>
    </row>
    <row r="2492" spans="1:2" x14ac:dyDescent="0.15">
      <c r="A2492" s="22">
        <v>44364</v>
      </c>
      <c r="B2492">
        <v>1.1906000000000001</v>
      </c>
    </row>
    <row r="2493" spans="1:2" x14ac:dyDescent="0.15">
      <c r="A2493" s="22">
        <v>44365</v>
      </c>
      <c r="B2493">
        <v>1.1859999999999999</v>
      </c>
    </row>
    <row r="2494" spans="1:2" x14ac:dyDescent="0.15">
      <c r="A2494" s="22">
        <v>44368</v>
      </c>
      <c r="B2494">
        <v>1.1915</v>
      </c>
    </row>
    <row r="2495" spans="1:2" x14ac:dyDescent="0.15">
      <c r="A2495" s="22">
        <v>44369</v>
      </c>
      <c r="B2495">
        <v>1.1938</v>
      </c>
    </row>
    <row r="2496" spans="1:2" x14ac:dyDescent="0.15">
      <c r="A2496" s="22">
        <v>44370</v>
      </c>
      <c r="B2496">
        <v>1.1924999999999999</v>
      </c>
    </row>
    <row r="2497" spans="1:2" x14ac:dyDescent="0.15">
      <c r="A2497" s="22">
        <v>44371</v>
      </c>
      <c r="B2497">
        <v>1.1930000000000001</v>
      </c>
    </row>
    <row r="2498" spans="1:2" x14ac:dyDescent="0.15">
      <c r="A2498" s="22">
        <v>44372</v>
      </c>
      <c r="B2498">
        <v>1.1933</v>
      </c>
    </row>
    <row r="2499" spans="1:2" x14ac:dyDescent="0.15">
      <c r="A2499" s="22">
        <v>44375</v>
      </c>
      <c r="B2499">
        <v>1.1923999999999999</v>
      </c>
    </row>
    <row r="2500" spans="1:2" x14ac:dyDescent="0.15">
      <c r="A2500" s="22">
        <v>44376</v>
      </c>
      <c r="B2500">
        <v>1.1895</v>
      </c>
    </row>
    <row r="2501" spans="1:2" x14ac:dyDescent="0.15">
      <c r="A2501" s="22">
        <v>44377</v>
      </c>
      <c r="B2501">
        <v>1.1855</v>
      </c>
    </row>
    <row r="2502" spans="1:2" x14ac:dyDescent="0.15">
      <c r="A2502" s="22">
        <v>44378</v>
      </c>
      <c r="B2502">
        <v>1.1848000000000001</v>
      </c>
    </row>
    <row r="2503" spans="1:2" x14ac:dyDescent="0.15">
      <c r="A2503" s="22">
        <v>44379</v>
      </c>
      <c r="B2503">
        <v>1.1863999999999999</v>
      </c>
    </row>
    <row r="2504" spans="1:2" x14ac:dyDescent="0.15">
      <c r="A2504" s="22">
        <v>44382</v>
      </c>
      <c r="B2504">
        <v>1.1860999999999999</v>
      </c>
    </row>
    <row r="2505" spans="1:2" x14ac:dyDescent="0.15">
      <c r="A2505" s="22">
        <v>44383</v>
      </c>
      <c r="B2505">
        <v>1.1821999999999999</v>
      </c>
    </row>
    <row r="2506" spans="1:2" x14ac:dyDescent="0.15">
      <c r="A2506" s="22">
        <v>44384</v>
      </c>
      <c r="B2506">
        <v>1.1789000000000001</v>
      </c>
    </row>
    <row r="2507" spans="1:2" x14ac:dyDescent="0.15">
      <c r="A2507" s="22">
        <v>44385</v>
      </c>
      <c r="B2507">
        <v>1.1841999999999999</v>
      </c>
    </row>
    <row r="2508" spans="1:2" x14ac:dyDescent="0.15">
      <c r="A2508" s="22">
        <v>44386</v>
      </c>
      <c r="B2508">
        <v>1.1873</v>
      </c>
    </row>
    <row r="2509" spans="1:2" x14ac:dyDescent="0.15">
      <c r="A2509" s="22">
        <v>44389</v>
      </c>
      <c r="B2509">
        <v>1.1859</v>
      </c>
    </row>
    <row r="2510" spans="1:2" x14ac:dyDescent="0.15">
      <c r="A2510" s="22">
        <v>44390</v>
      </c>
      <c r="B2510">
        <v>1.1774</v>
      </c>
    </row>
    <row r="2511" spans="1:2" x14ac:dyDescent="0.15">
      <c r="A2511" s="22">
        <v>44391</v>
      </c>
      <c r="B2511">
        <v>1.1835</v>
      </c>
    </row>
    <row r="2512" spans="1:2" x14ac:dyDescent="0.15">
      <c r="A2512" s="22">
        <v>44392</v>
      </c>
      <c r="B2512">
        <v>1.1812</v>
      </c>
    </row>
    <row r="2513" spans="1:2" x14ac:dyDescent="0.15">
      <c r="A2513" s="22">
        <v>44393</v>
      </c>
      <c r="B2513">
        <v>1.1805000000000001</v>
      </c>
    </row>
    <row r="2514" spans="1:2" x14ac:dyDescent="0.15">
      <c r="A2514" s="22">
        <v>44396</v>
      </c>
      <c r="B2514">
        <v>1.1798</v>
      </c>
    </row>
    <row r="2515" spans="1:2" x14ac:dyDescent="0.15">
      <c r="A2515" s="22">
        <v>44397</v>
      </c>
      <c r="B2515">
        <v>1.1778999999999999</v>
      </c>
    </row>
    <row r="2516" spans="1:2" x14ac:dyDescent="0.15">
      <c r="A2516" s="22">
        <v>44398</v>
      </c>
      <c r="B2516">
        <v>1.1792</v>
      </c>
    </row>
    <row r="2517" spans="1:2" x14ac:dyDescent="0.15">
      <c r="A2517" s="22">
        <v>44399</v>
      </c>
      <c r="B2517">
        <v>1.177</v>
      </c>
    </row>
    <row r="2518" spans="1:2" x14ac:dyDescent="0.15">
      <c r="A2518" s="22">
        <v>44400</v>
      </c>
      <c r="B2518">
        <v>1.1771</v>
      </c>
    </row>
    <row r="2519" spans="1:2" x14ac:dyDescent="0.15">
      <c r="A2519" s="22">
        <v>44403</v>
      </c>
      <c r="B2519">
        <v>1.1798999999999999</v>
      </c>
    </row>
    <row r="2520" spans="1:2" x14ac:dyDescent="0.15">
      <c r="A2520" s="22">
        <v>44404</v>
      </c>
      <c r="B2520">
        <v>1.1814</v>
      </c>
    </row>
    <row r="2521" spans="1:2" x14ac:dyDescent="0.15">
      <c r="A2521" s="22">
        <v>44405</v>
      </c>
      <c r="B2521">
        <v>1.1841999999999999</v>
      </c>
    </row>
    <row r="2522" spans="1:2" x14ac:dyDescent="0.15">
      <c r="A2522" s="22">
        <v>44406</v>
      </c>
      <c r="B2522">
        <v>1.1886000000000001</v>
      </c>
    </row>
    <row r="2523" spans="1:2" x14ac:dyDescent="0.15">
      <c r="A2523" s="22">
        <v>44407</v>
      </c>
      <c r="B2523">
        <v>1.1870000000000001</v>
      </c>
    </row>
    <row r="2524" spans="1:2" x14ac:dyDescent="0.15">
      <c r="A2524" s="22">
        <v>44410</v>
      </c>
      <c r="B2524">
        <v>1.1867000000000001</v>
      </c>
    </row>
    <row r="2525" spans="1:2" x14ac:dyDescent="0.15">
      <c r="A2525" s="22">
        <v>44411</v>
      </c>
      <c r="B2525">
        <v>1.1859999999999999</v>
      </c>
    </row>
    <row r="2526" spans="1:2" x14ac:dyDescent="0.15">
      <c r="A2526" s="22">
        <v>44412</v>
      </c>
      <c r="B2526">
        <v>1.1835</v>
      </c>
    </row>
    <row r="2527" spans="1:2" x14ac:dyDescent="0.15">
      <c r="A2527" s="22">
        <v>44413</v>
      </c>
      <c r="B2527">
        <v>1.1832</v>
      </c>
    </row>
    <row r="2528" spans="1:2" x14ac:dyDescent="0.15">
      <c r="A2528" s="22">
        <v>44414</v>
      </c>
      <c r="B2528">
        <v>1.1759999999999999</v>
      </c>
    </row>
    <row r="2529" spans="1:2" x14ac:dyDescent="0.15">
      <c r="A2529" s="22">
        <v>44417</v>
      </c>
      <c r="B2529">
        <v>1.1737</v>
      </c>
    </row>
    <row r="2530" spans="1:2" x14ac:dyDescent="0.15">
      <c r="A2530" s="22">
        <v>44418</v>
      </c>
      <c r="B2530">
        <v>1.1718</v>
      </c>
    </row>
    <row r="2531" spans="1:2" x14ac:dyDescent="0.15">
      <c r="A2531" s="22">
        <v>44419</v>
      </c>
      <c r="B2531">
        <v>1.1737</v>
      </c>
    </row>
    <row r="2532" spans="1:2" x14ac:dyDescent="0.15">
      <c r="A2532" s="22">
        <v>44420</v>
      </c>
      <c r="B2532">
        <v>1.1727000000000001</v>
      </c>
    </row>
    <row r="2533" spans="1:2" x14ac:dyDescent="0.15">
      <c r="A2533" s="22">
        <v>44421</v>
      </c>
      <c r="B2533">
        <v>1.1791</v>
      </c>
    </row>
    <row r="2534" spans="1:2" x14ac:dyDescent="0.15">
      <c r="A2534" s="22">
        <v>44424</v>
      </c>
      <c r="B2534">
        <v>1.1777</v>
      </c>
    </row>
    <row r="2535" spans="1:2" x14ac:dyDescent="0.15">
      <c r="A2535" s="22">
        <v>44425</v>
      </c>
      <c r="B2535">
        <v>1.1708000000000001</v>
      </c>
    </row>
    <row r="2536" spans="1:2" x14ac:dyDescent="0.15">
      <c r="A2536" s="22">
        <v>44426</v>
      </c>
      <c r="B2536">
        <v>1.171</v>
      </c>
    </row>
    <row r="2537" spans="1:2" x14ac:dyDescent="0.15">
      <c r="A2537" s="22">
        <v>44427</v>
      </c>
      <c r="B2537">
        <v>1.1674</v>
      </c>
    </row>
    <row r="2538" spans="1:2" x14ac:dyDescent="0.15">
      <c r="A2538" s="22">
        <v>44428</v>
      </c>
      <c r="B2538">
        <v>1.1696</v>
      </c>
    </row>
    <row r="2539" spans="1:2" x14ac:dyDescent="0.15">
      <c r="A2539" s="22">
        <v>44431</v>
      </c>
      <c r="B2539">
        <v>1.1742999999999999</v>
      </c>
    </row>
    <row r="2540" spans="1:2" x14ac:dyDescent="0.15">
      <c r="A2540" s="22">
        <v>44432</v>
      </c>
      <c r="B2540">
        <v>1.1753</v>
      </c>
    </row>
    <row r="2541" spans="1:2" x14ac:dyDescent="0.15">
      <c r="A2541" s="22">
        <v>44433</v>
      </c>
      <c r="B2541">
        <v>1.177</v>
      </c>
    </row>
    <row r="2542" spans="1:2" x14ac:dyDescent="0.15">
      <c r="A2542" s="22">
        <v>44434</v>
      </c>
      <c r="B2542">
        <v>1.175</v>
      </c>
    </row>
    <row r="2543" spans="1:2" x14ac:dyDescent="0.15">
      <c r="A2543" s="22">
        <v>44435</v>
      </c>
      <c r="B2543">
        <v>1.1793</v>
      </c>
    </row>
    <row r="2544" spans="1:2" x14ac:dyDescent="0.15">
      <c r="A2544" s="22">
        <v>44438</v>
      </c>
      <c r="B2544">
        <v>1.1795</v>
      </c>
    </row>
    <row r="2545" spans="1:2" x14ac:dyDescent="0.15">
      <c r="A2545" s="22">
        <v>44439</v>
      </c>
      <c r="B2545">
        <v>1.1807000000000001</v>
      </c>
    </row>
    <row r="2546" spans="1:2" x14ac:dyDescent="0.15">
      <c r="A2546" s="22">
        <v>44440</v>
      </c>
      <c r="B2546">
        <v>1.1837</v>
      </c>
    </row>
    <row r="2547" spans="1:2" x14ac:dyDescent="0.15">
      <c r="A2547" s="22">
        <v>44441</v>
      </c>
      <c r="B2547">
        <v>1.1873</v>
      </c>
    </row>
    <row r="2548" spans="1:2" x14ac:dyDescent="0.15">
      <c r="A2548" s="22">
        <v>44442</v>
      </c>
      <c r="B2548">
        <v>1.1881999999999999</v>
      </c>
    </row>
    <row r="2549" spans="1:2" x14ac:dyDescent="0.15">
      <c r="A2549" s="22">
        <v>44445</v>
      </c>
      <c r="B2549">
        <v>1.1868000000000001</v>
      </c>
    </row>
    <row r="2550" spans="1:2" x14ac:dyDescent="0.15">
      <c r="A2550" s="22">
        <v>44446</v>
      </c>
      <c r="B2550">
        <v>1.1839</v>
      </c>
    </row>
    <row r="2551" spans="1:2" x14ac:dyDescent="0.15">
      <c r="A2551" s="22">
        <v>44447</v>
      </c>
      <c r="B2551">
        <v>1.1813</v>
      </c>
    </row>
    <row r="2552" spans="1:2" x14ac:dyDescent="0.15">
      <c r="A2552" s="22">
        <v>44448</v>
      </c>
      <c r="B2552">
        <v>1.1825000000000001</v>
      </c>
    </row>
    <row r="2553" spans="1:2" x14ac:dyDescent="0.15">
      <c r="A2553" s="22">
        <v>44449</v>
      </c>
      <c r="B2553">
        <v>1.1814</v>
      </c>
    </row>
    <row r="2554" spans="1:2" x14ac:dyDescent="0.15">
      <c r="A2554" s="22">
        <v>44452</v>
      </c>
      <c r="B2554">
        <v>1.1808000000000001</v>
      </c>
    </row>
    <row r="2555" spans="1:2" x14ac:dyDescent="0.15">
      <c r="A2555" s="22">
        <v>44453</v>
      </c>
      <c r="B2555">
        <v>1.1801999999999999</v>
      </c>
    </row>
    <row r="2556" spans="1:2" x14ac:dyDescent="0.15">
      <c r="A2556" s="22">
        <v>44454</v>
      </c>
      <c r="B2556">
        <v>1.1815</v>
      </c>
    </row>
    <row r="2557" spans="1:2" x14ac:dyDescent="0.15">
      <c r="A2557" s="22">
        <v>44455</v>
      </c>
      <c r="B2557">
        <v>1.1763999999999999</v>
      </c>
    </row>
    <row r="2558" spans="1:2" x14ac:dyDescent="0.15">
      <c r="A2558" s="22">
        <v>44456</v>
      </c>
      <c r="B2558">
        <v>1.1725000000000001</v>
      </c>
    </row>
    <row r="2559" spans="1:2" x14ac:dyDescent="0.15">
      <c r="A2559" s="22">
        <v>44459</v>
      </c>
      <c r="B2559">
        <v>1.1725000000000001</v>
      </c>
    </row>
    <row r="2560" spans="1:2" x14ac:dyDescent="0.15">
      <c r="A2560" s="22">
        <v>44460</v>
      </c>
      <c r="B2560">
        <v>1.1722999999999999</v>
      </c>
    </row>
    <row r="2561" spans="1:2" x14ac:dyDescent="0.15">
      <c r="A2561" s="22">
        <v>44461</v>
      </c>
      <c r="B2561">
        <v>1.1686000000000001</v>
      </c>
    </row>
    <row r="2562" spans="1:2" x14ac:dyDescent="0.15">
      <c r="A2562" s="22">
        <v>44462</v>
      </c>
      <c r="B2562">
        <v>1.1736</v>
      </c>
    </row>
    <row r="2563" spans="1:2" x14ac:dyDescent="0.15">
      <c r="A2563" s="22">
        <v>44463</v>
      </c>
      <c r="B2563">
        <v>1.1714</v>
      </c>
    </row>
    <row r="2564" spans="1:2" x14ac:dyDescent="0.15">
      <c r="A2564" s="22">
        <v>44466</v>
      </c>
      <c r="B2564">
        <v>1.1694</v>
      </c>
    </row>
    <row r="2565" spans="1:2" x14ac:dyDescent="0.15">
      <c r="A2565" s="22">
        <v>44467</v>
      </c>
      <c r="B2565">
        <v>1.1680999999999999</v>
      </c>
    </row>
    <row r="2566" spans="1:2" x14ac:dyDescent="0.15">
      <c r="A2566" s="22">
        <v>44468</v>
      </c>
      <c r="B2566">
        <v>1.1595</v>
      </c>
    </row>
    <row r="2567" spans="1:2" x14ac:dyDescent="0.15">
      <c r="A2567" s="22">
        <v>44469</v>
      </c>
      <c r="B2567">
        <v>1.1580999999999999</v>
      </c>
    </row>
    <row r="2568" spans="1:2" x14ac:dyDescent="0.15">
      <c r="A2568" s="22">
        <v>44470</v>
      </c>
      <c r="B2568">
        <v>1.1594</v>
      </c>
    </row>
    <row r="2569" spans="1:2" x14ac:dyDescent="0.15">
      <c r="A2569" s="22">
        <v>44473</v>
      </c>
      <c r="B2569">
        <v>1.1620999999999999</v>
      </c>
    </row>
    <row r="2570" spans="1:2" x14ac:dyDescent="0.15">
      <c r="A2570" s="22">
        <v>44474</v>
      </c>
      <c r="B2570">
        <v>1.1596</v>
      </c>
    </row>
    <row r="2571" spans="1:2" x14ac:dyDescent="0.15">
      <c r="A2571" s="22">
        <v>44475</v>
      </c>
      <c r="B2571">
        <v>1.1556</v>
      </c>
    </row>
    <row r="2572" spans="1:2" x14ac:dyDescent="0.15">
      <c r="A2572" s="22">
        <v>44476</v>
      </c>
      <c r="B2572">
        <v>1.155</v>
      </c>
    </row>
    <row r="2573" spans="1:2" x14ac:dyDescent="0.15">
      <c r="A2573" s="22">
        <v>44477</v>
      </c>
      <c r="B2573">
        <v>1.1567000000000001</v>
      </c>
    </row>
    <row r="2574" spans="1:2" x14ac:dyDescent="0.15">
      <c r="A2574" s="22">
        <v>44480</v>
      </c>
      <c r="B2574">
        <v>1.1551</v>
      </c>
    </row>
    <row r="2575" spans="1:2" x14ac:dyDescent="0.15">
      <c r="A2575" s="22">
        <v>44481</v>
      </c>
      <c r="B2575">
        <v>1.1527000000000001</v>
      </c>
    </row>
    <row r="2576" spans="1:2" x14ac:dyDescent="0.15">
      <c r="A2576" s="22">
        <v>44482</v>
      </c>
      <c r="B2576">
        <v>1.1592</v>
      </c>
    </row>
    <row r="2577" spans="1:2" x14ac:dyDescent="0.15">
      <c r="A2577" s="22">
        <v>44483</v>
      </c>
      <c r="B2577">
        <v>1.1594</v>
      </c>
    </row>
    <row r="2578" spans="1:2" x14ac:dyDescent="0.15">
      <c r="A2578" s="22">
        <v>44484</v>
      </c>
      <c r="B2578">
        <v>1.1599999999999999</v>
      </c>
    </row>
    <row r="2579" spans="1:2" x14ac:dyDescent="0.15">
      <c r="A2579" s="22">
        <v>44487</v>
      </c>
      <c r="B2579">
        <v>1.1609</v>
      </c>
    </row>
    <row r="2580" spans="1:2" x14ac:dyDescent="0.15">
      <c r="A2580" s="22">
        <v>44488</v>
      </c>
      <c r="B2580">
        <v>1.1632</v>
      </c>
    </row>
    <row r="2581" spans="1:2" x14ac:dyDescent="0.15">
      <c r="A2581" s="22">
        <v>44489</v>
      </c>
      <c r="B2581">
        <v>1.1649</v>
      </c>
    </row>
    <row r="2582" spans="1:2" x14ac:dyDescent="0.15">
      <c r="A2582" s="22">
        <v>44490</v>
      </c>
      <c r="B2582">
        <v>1.1620999999999999</v>
      </c>
    </row>
    <row r="2583" spans="1:2" x14ac:dyDescent="0.15">
      <c r="A2583" s="22">
        <v>44491</v>
      </c>
      <c r="B2583">
        <v>1.1647000000000001</v>
      </c>
    </row>
    <row r="2584" spans="1:2" x14ac:dyDescent="0.15">
      <c r="A2584" s="22">
        <v>44494</v>
      </c>
      <c r="B2584">
        <v>1.1606000000000001</v>
      </c>
    </row>
    <row r="2585" spans="1:2" x14ac:dyDescent="0.15">
      <c r="A2585" s="22">
        <v>44495</v>
      </c>
      <c r="B2585">
        <v>1.1595</v>
      </c>
    </row>
    <row r="2586" spans="1:2" x14ac:dyDescent="0.15">
      <c r="A2586" s="22">
        <v>44496</v>
      </c>
      <c r="B2586">
        <v>1.1604000000000001</v>
      </c>
    </row>
    <row r="2587" spans="1:2" x14ac:dyDescent="0.15">
      <c r="A2587" s="22">
        <v>44497</v>
      </c>
      <c r="B2587">
        <v>1.1678999999999999</v>
      </c>
    </row>
    <row r="2588" spans="1:2" x14ac:dyDescent="0.15">
      <c r="A2588" s="22">
        <v>44498</v>
      </c>
      <c r="B2588">
        <v>1.1560999999999999</v>
      </c>
    </row>
    <row r="2589" spans="1:2" x14ac:dyDescent="0.15">
      <c r="A2589" s="22">
        <v>44501</v>
      </c>
      <c r="B2589">
        <v>1.1606000000000001</v>
      </c>
    </row>
    <row r="2590" spans="1:2" x14ac:dyDescent="0.15">
      <c r="A2590" s="22">
        <v>44502</v>
      </c>
      <c r="B2590">
        <v>1.1577</v>
      </c>
    </row>
    <row r="2591" spans="1:2" x14ac:dyDescent="0.15">
      <c r="A2591" s="22">
        <v>44503</v>
      </c>
      <c r="B2591">
        <v>1.161</v>
      </c>
    </row>
    <row r="2592" spans="1:2" x14ac:dyDescent="0.15">
      <c r="A2592" s="22">
        <v>44504</v>
      </c>
      <c r="B2592">
        <v>1.1552</v>
      </c>
    </row>
    <row r="2593" spans="1:2" x14ac:dyDescent="0.15">
      <c r="A2593" s="22">
        <v>44505</v>
      </c>
      <c r="B2593">
        <v>1.1566000000000001</v>
      </c>
    </row>
    <row r="2594" spans="1:2" x14ac:dyDescent="0.15">
      <c r="A2594" s="22">
        <v>44508</v>
      </c>
      <c r="B2594">
        <v>1.1586000000000001</v>
      </c>
    </row>
    <row r="2595" spans="1:2" x14ac:dyDescent="0.15">
      <c r="A2595" s="22">
        <v>44509</v>
      </c>
      <c r="B2595">
        <v>1.1591</v>
      </c>
    </row>
    <row r="2596" spans="1:2" x14ac:dyDescent="0.15">
      <c r="A2596" s="22">
        <v>44510</v>
      </c>
      <c r="B2596">
        <v>1.1477999999999999</v>
      </c>
    </row>
    <row r="2597" spans="1:2" x14ac:dyDescent="0.15">
      <c r="A2597" s="22">
        <v>44511</v>
      </c>
      <c r="B2597">
        <v>1.145</v>
      </c>
    </row>
    <row r="2598" spans="1:2" x14ac:dyDescent="0.15">
      <c r="A2598" s="22">
        <v>44512</v>
      </c>
      <c r="B2598">
        <v>1.145</v>
      </c>
    </row>
    <row r="2599" spans="1:2" x14ac:dyDescent="0.15">
      <c r="A2599" s="22">
        <v>44515</v>
      </c>
      <c r="B2599">
        <v>1.1367</v>
      </c>
    </row>
    <row r="2600" spans="1:2" x14ac:dyDescent="0.15">
      <c r="A2600" s="22">
        <v>44516</v>
      </c>
      <c r="B2600">
        <v>1.1318999999999999</v>
      </c>
    </row>
    <row r="2601" spans="1:2" x14ac:dyDescent="0.15">
      <c r="A2601" s="22">
        <v>44517</v>
      </c>
      <c r="B2601">
        <v>1.1318999999999999</v>
      </c>
    </row>
    <row r="2602" spans="1:2" x14ac:dyDescent="0.15">
      <c r="A2602" s="22">
        <v>44518</v>
      </c>
      <c r="B2602">
        <v>1.1369</v>
      </c>
    </row>
    <row r="2603" spans="1:2" x14ac:dyDescent="0.15">
      <c r="A2603" s="22">
        <v>44519</v>
      </c>
      <c r="B2603">
        <v>1.1288</v>
      </c>
    </row>
    <row r="2604" spans="1:2" x14ac:dyDescent="0.15">
      <c r="A2604" s="22">
        <v>44522</v>
      </c>
      <c r="B2604">
        <v>1.1234</v>
      </c>
    </row>
    <row r="2605" spans="1:2" x14ac:dyDescent="0.15">
      <c r="A2605" s="22">
        <v>44523</v>
      </c>
      <c r="B2605">
        <v>1.1246</v>
      </c>
    </row>
    <row r="2606" spans="1:2" x14ac:dyDescent="0.15">
      <c r="A2606" s="22">
        <v>44524</v>
      </c>
      <c r="B2606">
        <v>1.1196999999999999</v>
      </c>
    </row>
    <row r="2607" spans="1:2" x14ac:dyDescent="0.15">
      <c r="A2607" s="22">
        <v>44525</v>
      </c>
      <c r="B2607">
        <v>1.1206</v>
      </c>
    </row>
    <row r="2608" spans="1:2" x14ac:dyDescent="0.15">
      <c r="A2608" s="22">
        <v>44526</v>
      </c>
      <c r="B2608">
        <v>1.1316999999999999</v>
      </c>
    </row>
    <row r="2609" spans="1:2" x14ac:dyDescent="0.15">
      <c r="A2609" s="22">
        <v>44529</v>
      </c>
      <c r="B2609">
        <v>1.1291</v>
      </c>
    </row>
    <row r="2610" spans="1:2" x14ac:dyDescent="0.15">
      <c r="A2610" s="22">
        <v>44530</v>
      </c>
      <c r="B2610">
        <v>1.1335999999999999</v>
      </c>
    </row>
    <row r="2611" spans="1:2" x14ac:dyDescent="0.15">
      <c r="A2611" s="22">
        <v>44531</v>
      </c>
      <c r="B2611">
        <v>1.1318999999999999</v>
      </c>
    </row>
    <row r="2612" spans="1:2" x14ac:dyDescent="0.15">
      <c r="A2612" s="22">
        <v>44532</v>
      </c>
      <c r="B2612">
        <v>1.1298999999999999</v>
      </c>
    </row>
    <row r="2613" spans="1:2" x14ac:dyDescent="0.15">
      <c r="A2613" s="22">
        <v>44533</v>
      </c>
      <c r="B2613">
        <v>1.1313</v>
      </c>
    </row>
    <row r="2614" spans="1:2" x14ac:dyDescent="0.15">
      <c r="A2614" s="22">
        <v>44536</v>
      </c>
      <c r="B2614">
        <v>1.1285000000000001</v>
      </c>
    </row>
    <row r="2615" spans="1:2" x14ac:dyDescent="0.15">
      <c r="A2615" s="22">
        <v>44537</v>
      </c>
      <c r="B2615">
        <v>1.1263000000000001</v>
      </c>
    </row>
    <row r="2616" spans="1:2" x14ac:dyDescent="0.15">
      <c r="A2616" s="22">
        <v>44538</v>
      </c>
      <c r="B2616">
        <v>1.1342000000000001</v>
      </c>
    </row>
    <row r="2617" spans="1:2" x14ac:dyDescent="0.15">
      <c r="A2617" s="22">
        <v>44539</v>
      </c>
      <c r="B2617">
        <v>1.1292</v>
      </c>
    </row>
    <row r="2618" spans="1:2" x14ac:dyDescent="0.15">
      <c r="A2618" s="22">
        <v>44540</v>
      </c>
      <c r="B2618">
        <v>1.1311</v>
      </c>
    </row>
    <row r="2619" spans="1:2" x14ac:dyDescent="0.15">
      <c r="A2619" s="22">
        <v>44543</v>
      </c>
      <c r="B2619">
        <v>1.1283000000000001</v>
      </c>
    </row>
    <row r="2620" spans="1:2" x14ac:dyDescent="0.15">
      <c r="A2620" s="22">
        <v>44544</v>
      </c>
      <c r="B2620">
        <v>1.1256999999999999</v>
      </c>
    </row>
    <row r="2621" spans="1:2" x14ac:dyDescent="0.15">
      <c r="A2621" s="22">
        <v>44545</v>
      </c>
      <c r="B2621">
        <v>1.1285000000000001</v>
      </c>
    </row>
    <row r="2622" spans="1:2" x14ac:dyDescent="0.15">
      <c r="A2622" s="22">
        <v>44546</v>
      </c>
      <c r="B2622">
        <v>1.1328</v>
      </c>
    </row>
    <row r="2623" spans="1:2" x14ac:dyDescent="0.15">
      <c r="A2623" s="22">
        <v>44547</v>
      </c>
      <c r="B2623">
        <v>1.1238999999999999</v>
      </c>
    </row>
    <row r="2624" spans="1:2" x14ac:dyDescent="0.15">
      <c r="A2624" s="22">
        <v>44550</v>
      </c>
      <c r="B2624">
        <v>1.1274999999999999</v>
      </c>
    </row>
    <row r="2625" spans="1:2" x14ac:dyDescent="0.15">
      <c r="A2625" s="22">
        <v>44551</v>
      </c>
      <c r="B2625">
        <v>1.1283000000000001</v>
      </c>
    </row>
    <row r="2626" spans="1:2" x14ac:dyDescent="0.15">
      <c r="A2626" s="22">
        <v>44552</v>
      </c>
      <c r="B2626">
        <v>1.1324000000000001</v>
      </c>
    </row>
    <row r="2627" spans="1:2" x14ac:dyDescent="0.15">
      <c r="A2627" s="22">
        <v>44553</v>
      </c>
      <c r="B2627">
        <v>1.1328</v>
      </c>
    </row>
    <row r="2628" spans="1:2" x14ac:dyDescent="0.15">
      <c r="A2628" s="22">
        <v>44554</v>
      </c>
      <c r="B2628">
        <v>1.1316999999999999</v>
      </c>
    </row>
    <row r="2629" spans="1:2" x14ac:dyDescent="0.15">
      <c r="A2629" s="22">
        <v>44557</v>
      </c>
      <c r="B2629">
        <v>1.1325000000000001</v>
      </c>
    </row>
    <row r="2630" spans="1:2" x14ac:dyDescent="0.15">
      <c r="A2630" s="22">
        <v>44558</v>
      </c>
      <c r="B2630">
        <v>1.1309</v>
      </c>
    </row>
    <row r="2631" spans="1:2" x14ac:dyDescent="0.15">
      <c r="A2631" s="22">
        <v>44559</v>
      </c>
      <c r="B2631">
        <v>1.1348</v>
      </c>
    </row>
    <row r="2632" spans="1:2" x14ac:dyDescent="0.15">
      <c r="A2632" s="22">
        <v>44560</v>
      </c>
      <c r="B2632">
        <v>1.1323000000000001</v>
      </c>
    </row>
    <row r="2633" spans="1:2" x14ac:dyDescent="0.15">
      <c r="A2633" s="22">
        <v>44561</v>
      </c>
      <c r="B2633">
        <v>1.1368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812"/>
  <sheetViews>
    <sheetView showGridLines="0" zoomScale="50" zoomScaleNormal="100" workbookViewId="0">
      <selection activeCell="AH64" sqref="AH64"/>
    </sheetView>
  </sheetViews>
  <sheetFormatPr baseColWidth="10" defaultColWidth="14.5" defaultRowHeight="15.75" customHeight="1" x14ac:dyDescent="0.15"/>
  <cols>
    <col min="1" max="1" width="14" style="2" customWidth="1"/>
    <col min="2" max="2" width="18.5" style="2" bestFit="1" customWidth="1"/>
    <col min="3" max="3" width="16.83203125" style="2" bestFit="1" customWidth="1"/>
    <col min="4" max="5" width="21.6640625" style="2" customWidth="1"/>
    <col min="6" max="6" width="18.6640625" style="2" customWidth="1"/>
    <col min="7" max="8" width="21.6640625" style="2" customWidth="1"/>
    <col min="9" max="9" width="13.6640625" style="2" bestFit="1" customWidth="1"/>
    <col min="10" max="10" width="13.6640625" style="2" customWidth="1"/>
    <col min="11" max="11" width="16.6640625" style="2" bestFit="1" customWidth="1"/>
    <col min="12" max="12" width="11.83203125" style="2" bestFit="1" customWidth="1"/>
    <col min="13" max="13" width="15.6640625" style="2" bestFit="1" customWidth="1"/>
    <col min="14" max="14" width="24.6640625" style="2" bestFit="1" customWidth="1"/>
    <col min="15" max="15" width="23" style="2" bestFit="1" customWidth="1"/>
    <col min="16" max="16" width="28" style="2" bestFit="1" customWidth="1"/>
    <col min="17" max="17" width="29.1640625" style="2" bestFit="1" customWidth="1"/>
    <col min="18" max="18" width="28.83203125" style="2" bestFit="1" customWidth="1"/>
    <col min="19" max="19" width="17.33203125" style="2" customWidth="1"/>
    <col min="20" max="21" width="20.6640625" style="2" customWidth="1"/>
    <col min="22" max="22" width="16.83203125" style="2" customWidth="1"/>
    <col min="23" max="23" width="15.5" style="2" bestFit="1" customWidth="1"/>
    <col min="24" max="25" width="15.5" style="2" customWidth="1"/>
    <col min="26" max="26" width="21.6640625" style="2" bestFit="1" customWidth="1"/>
    <col min="27" max="27" width="21.6640625" style="2" customWidth="1"/>
    <col min="28" max="28" width="15.6640625" style="2" bestFit="1" customWidth="1"/>
    <col min="29" max="30" width="15.6640625" style="2" customWidth="1"/>
    <col min="31" max="31" width="19.6640625" style="2" bestFit="1" customWidth="1"/>
    <col min="32" max="32" width="19.6640625" style="2" customWidth="1"/>
    <col min="33" max="33" width="22.83203125" style="2" bestFit="1" customWidth="1"/>
    <col min="34" max="34" width="22.83203125" style="2" customWidth="1"/>
    <col min="35" max="35" width="24.1640625" style="2" bestFit="1" customWidth="1"/>
    <col min="36" max="36" width="14.5" style="2"/>
    <col min="37" max="37" width="15.6640625" style="2" bestFit="1" customWidth="1"/>
    <col min="38" max="38" width="15.6640625" style="2" customWidth="1"/>
    <col min="39" max="39" width="23.6640625" style="2" bestFit="1" customWidth="1"/>
    <col min="40" max="40" width="17.5" style="2" bestFit="1" customWidth="1"/>
    <col min="41" max="41" width="17.5" style="2" customWidth="1"/>
    <col min="42" max="42" width="24.6640625" style="2" bestFit="1" customWidth="1"/>
    <col min="43" max="43" width="24.6640625" style="2" customWidth="1"/>
    <col min="44" max="16384" width="14.5" style="2"/>
  </cols>
  <sheetData>
    <row r="1" spans="1:44" customFormat="1" ht="29.25" customHeight="1" x14ac:dyDescent="0.15">
      <c r="A1" s="110"/>
      <c r="B1" s="111" t="s">
        <v>20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</row>
    <row r="2" spans="1:44" customFormat="1" ht="29.25" customHeight="1" thickBot="1" x14ac:dyDescent="0.2">
      <c r="A2" s="110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</row>
    <row r="3" spans="1:44" customFormat="1" ht="29.25" customHeight="1" thickBot="1" x14ac:dyDescent="0.2">
      <c r="A3" s="110"/>
      <c r="B3" s="108" t="s">
        <v>15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6" t="s">
        <v>16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69"/>
      <c r="AK3" s="70"/>
      <c r="AL3" s="70"/>
    </row>
    <row r="4" spans="1:44" ht="51" x14ac:dyDescent="0.15">
      <c r="A4" s="12" t="s">
        <v>14</v>
      </c>
      <c r="B4" s="10" t="s">
        <v>18</v>
      </c>
      <c r="C4" s="10" t="s">
        <v>17</v>
      </c>
      <c r="D4" s="10" t="s">
        <v>1</v>
      </c>
      <c r="E4" s="10" t="s">
        <v>38</v>
      </c>
      <c r="F4" s="10" t="s">
        <v>41</v>
      </c>
      <c r="G4" s="10" t="s">
        <v>34</v>
      </c>
      <c r="H4" s="10" t="s">
        <v>32</v>
      </c>
      <c r="I4" s="10" t="s">
        <v>0</v>
      </c>
      <c r="J4" s="10" t="s">
        <v>33</v>
      </c>
      <c r="K4" s="10" t="s">
        <v>35</v>
      </c>
      <c r="L4" s="10" t="s">
        <v>31</v>
      </c>
      <c r="M4" s="10" t="s">
        <v>23</v>
      </c>
      <c r="N4" s="10" t="s">
        <v>27</v>
      </c>
      <c r="O4" s="10" t="s">
        <v>24</v>
      </c>
      <c r="P4" s="10" t="s">
        <v>26</v>
      </c>
      <c r="Q4" s="10" t="s">
        <v>25</v>
      </c>
      <c r="R4" s="10" t="s">
        <v>28</v>
      </c>
      <c r="S4" s="10" t="s">
        <v>2</v>
      </c>
      <c r="T4" s="67" t="s">
        <v>18</v>
      </c>
      <c r="U4" s="67" t="s">
        <v>57</v>
      </c>
      <c r="V4" s="67" t="s">
        <v>19</v>
      </c>
      <c r="W4" s="67" t="s">
        <v>54</v>
      </c>
      <c r="X4" s="67" t="s">
        <v>41</v>
      </c>
      <c r="Y4" s="67" t="s">
        <v>32</v>
      </c>
      <c r="Z4" s="67" t="s">
        <v>0</v>
      </c>
      <c r="AA4" s="67" t="s">
        <v>33</v>
      </c>
      <c r="AB4" s="67" t="s">
        <v>35</v>
      </c>
      <c r="AC4" s="67" t="s">
        <v>31</v>
      </c>
      <c r="AD4" s="67" t="s">
        <v>23</v>
      </c>
      <c r="AE4" s="67" t="s">
        <v>27</v>
      </c>
      <c r="AF4" s="67" t="s">
        <v>24</v>
      </c>
      <c r="AG4" s="67" t="s">
        <v>26</v>
      </c>
      <c r="AH4" s="68" t="s">
        <v>30</v>
      </c>
      <c r="AI4" s="68" t="s">
        <v>29</v>
      </c>
      <c r="AJ4" s="68" t="s">
        <v>2</v>
      </c>
      <c r="AK4" s="68" t="s">
        <v>56</v>
      </c>
      <c r="AL4" s="68" t="s">
        <v>100</v>
      </c>
      <c r="AM4" s="68" t="s">
        <v>60</v>
      </c>
      <c r="AN4" s="68" t="s">
        <v>79</v>
      </c>
      <c r="AO4" s="68" t="s">
        <v>80</v>
      </c>
      <c r="AP4" s="68" t="s">
        <v>53</v>
      </c>
      <c r="AQ4" s="68" t="s">
        <v>78</v>
      </c>
      <c r="AR4" s="10" t="s">
        <v>101</v>
      </c>
    </row>
    <row r="5" spans="1:44" ht="15.75" customHeight="1" x14ac:dyDescent="0.15">
      <c r="A5" s="13" t="s">
        <v>3</v>
      </c>
      <c r="B5" s="14">
        <f ca="1">C5 + RANDBETWEEN(5,20)</f>
        <v>41677</v>
      </c>
      <c r="C5" s="11">
        <f ca="1">RANDBETWEEN(DATE(2012,12,1),DATE(2016,8,8))</f>
        <v>41660</v>
      </c>
      <c r="D5" s="15">
        <f t="shared" ref="D5:D14" ca="1" si="0">ROUND(RANDBETWEEN(50000,200000),0)</f>
        <v>198288</v>
      </c>
      <c r="E5" s="16">
        <v>1</v>
      </c>
      <c r="F5" s="62">
        <f ca="1">VLOOKUP(C5,'US CPI'!$A$2:$C$178,3,TRUE)</f>
        <v>1.3885326356469845</v>
      </c>
      <c r="G5" s="16">
        <f ca="1">D5*E5</f>
        <v>198288</v>
      </c>
      <c r="H5" s="16">
        <f ca="1">G5*F5</f>
        <v>275329.35925716924</v>
      </c>
      <c r="I5" s="17">
        <f t="shared" ref="I5:I14" ca="1" si="1">RANDBETWEEN(100000,500000)</f>
        <v>398195</v>
      </c>
      <c r="J5" s="51">
        <f ca="1">R5/K5</f>
        <v>20.081648914709916</v>
      </c>
      <c r="K5" s="52">
        <f ca="1">G5/I5</f>
        <v>0.49796707643240123</v>
      </c>
      <c r="L5" s="52">
        <f ca="1">K5*F5</f>
        <v>0.69144353710410544</v>
      </c>
      <c r="M5" s="52">
        <f ca="1">N5*F5</f>
        <v>4.9010824520373291</v>
      </c>
      <c r="N5" s="18">
        <f ca="1">(RAND() * (0.6 - 0.05)+0.05) *R5</f>
        <v>3.5296847378410212</v>
      </c>
      <c r="O5" s="18">
        <f ca="1">(RAND() * (0.6 - 0.05)+0.05) *S5</f>
        <v>8.7024230124333815E-3</v>
      </c>
      <c r="P5" s="18">
        <f t="shared" ref="P5:P14" ca="1" si="2">R5-N5</f>
        <v>6.4703152621589783</v>
      </c>
      <c r="Q5" s="18">
        <f ca="1">R6*F5</f>
        <v>13.885326356469845</v>
      </c>
      <c r="R5" s="18">
        <f ca="1">RANDBETWEEN(0.5,8)*5</f>
        <v>10</v>
      </c>
      <c r="S5" s="19">
        <f ca="1">I5/(1000000*J5)</f>
        <v>1.9828800000000004E-2</v>
      </c>
      <c r="T5" s="53">
        <f t="shared" ref="T5:T14" ca="1" si="3">IF(W5&gt;0,V5+RANDBETWEEN(5,20),"")</f>
        <v>44383</v>
      </c>
      <c r="U5" s="53">
        <f t="shared" ref="U5:U14" ca="1" si="4">IF(V5="",RANDBETWEEN(DATE(2016,12,1),DATE(2021,12,31)),V5)</f>
        <v>44372</v>
      </c>
      <c r="V5" s="11">
        <f ca="1">IF(W5&gt;0,RANDBETWEEN(DATE(2016,12,1),DATE(2021,12,31)),"")</f>
        <v>44372</v>
      </c>
      <c r="W5" s="54">
        <f ca="1">AE5*1000000*(RAND()*(0.25-0.1)+0.1)</f>
        <v>87320.850412898522</v>
      </c>
      <c r="X5" s="61">
        <f ca="1">VLOOKUP(IF(V5="",U5,V5),'US CPI'!$A$2:$C$178,3,TRUE)</f>
        <v>1.1954537424179965</v>
      </c>
      <c r="Y5" s="54">
        <f t="shared" ref="Y5:Y14" ca="1" si="5">W5*X5</f>
        <v>104388.0374172216</v>
      </c>
      <c r="Z5" s="55">
        <f t="shared" ref="Z5:Z14" ca="1" si="6">W5/AB5</f>
        <v>364341.86699757678</v>
      </c>
      <c r="AA5" s="59">
        <f ca="1">(AE5/AB5)+J5</f>
        <v>23.403152909485538</v>
      </c>
      <c r="AB5" s="66">
        <f ca="1">K5* (AI5* (0.8 + RAND() * 0.4 ) / R5)</f>
        <v>0.23966735179923554</v>
      </c>
      <c r="AC5" s="66">
        <f ca="1">AB5*X5</f>
        <v>0.28651123264380668</v>
      </c>
      <c r="AD5" s="58">
        <f t="shared" ref="AD5:AD14" ca="1" si="7">AE5*X5</f>
        <v>0.95164820377449144</v>
      </c>
      <c r="AE5" s="57">
        <f ca="1">(RAND() * (0.3- 0.05)+0.05) *AI5</f>
        <v>0.79605606641845517</v>
      </c>
      <c r="AF5" s="57">
        <f ca="1">AH5-AD5</f>
        <v>3.875095624811594</v>
      </c>
      <c r="AG5" s="57">
        <f t="shared" ref="AG5:AG14" ca="1" si="8">AI5-AE5</f>
        <v>3.241527034725403</v>
      </c>
      <c r="AH5" s="57">
        <f t="shared" ref="AH5:AH14" ca="1" si="9">AI5*X5</f>
        <v>4.8267438285860855</v>
      </c>
      <c r="AI5" s="57">
        <f ca="1">IF(RAND()&gt;0.45,RAND()*(1-0.4)+0.4*R5,(1+14*RAND())*R5)</f>
        <v>4.0375831011438583</v>
      </c>
      <c r="AJ5" s="60">
        <f ca="1">(Z5+I5)/(1000000*AA5)</f>
        <v>3.2582655420266587E-2</v>
      </c>
      <c r="AK5" s="71">
        <f ca="1">AI5*1000000*AJ5</f>
        <v>131555.17891526173</v>
      </c>
      <c r="AL5" s="71">
        <f ca="1">AK5*X5</f>
        <v>157268.13096871873</v>
      </c>
      <c r="AM5" s="64">
        <f ca="1">(G5+W5)/SUM($G$5:$G$14,$W$5:$W$14)</f>
        <v>2.9078067957363143E-2</v>
      </c>
      <c r="AN5" s="65">
        <f ca="1">AK5/(G5+W5)</f>
        <v>0.46061310328820432</v>
      </c>
      <c r="AO5" s="65">
        <f ca="1">AK5/(G5+X5)</f>
        <v>0.66345107011113658</v>
      </c>
      <c r="AP5" s="65">
        <f ca="1">I5*AB5/G5</f>
        <v>0.48129156151505187</v>
      </c>
      <c r="AQ5" s="65">
        <f ca="1">H5*AB5/G5</f>
        <v>0.33278593967232556</v>
      </c>
      <c r="AR5" s="105" t="s">
        <v>102</v>
      </c>
    </row>
    <row r="6" spans="1:44" ht="17" customHeight="1" x14ac:dyDescent="0.15">
      <c r="A6" s="13" t="s">
        <v>4</v>
      </c>
      <c r="B6" s="14">
        <f ca="1">C6 + RANDBETWEEN(5,20)</f>
        <v>41534</v>
      </c>
      <c r="C6" s="11">
        <f t="shared" ref="C6:C14" ca="1" si="10">RANDBETWEEN(DATE(2012,12,1),DATE(2016,8,8))</f>
        <v>41515</v>
      </c>
      <c r="D6" s="15">
        <f t="shared" ca="1" si="0"/>
        <v>55855</v>
      </c>
      <c r="E6" s="16">
        <v>1</v>
      </c>
      <c r="F6" s="62">
        <f ca="1">VLOOKUP(C6,'US CPI'!$A$2:$C$178,3,TRUE)</f>
        <v>1.3887641794618539</v>
      </c>
      <c r="G6" s="16">
        <f t="shared" ref="G6:G14" ca="1" si="11">D6*E6</f>
        <v>55855</v>
      </c>
      <c r="H6" s="16">
        <f t="shared" ref="H6:H14" ca="1" si="12">G6*F6</f>
        <v>77569.423243841855</v>
      </c>
      <c r="I6" s="17">
        <f t="shared" ca="1" si="1"/>
        <v>453657</v>
      </c>
      <c r="J6" s="51">
        <f t="shared" ref="J6:J14" ca="1" si="13">R6/K6</f>
        <v>81.220481604153605</v>
      </c>
      <c r="K6" s="52">
        <f t="shared" ref="K6:K14" ca="1" si="14">G6/I6</f>
        <v>0.12312165358409548</v>
      </c>
      <c r="L6" s="52">
        <f t="shared" ref="L6:L14" ca="1" si="15">K6*F6</f>
        <v>0.17098694221370297</v>
      </c>
      <c r="M6" s="52">
        <f t="shared" ref="M6:M14" ca="1" si="16">N6*F6</f>
        <v>4.4162584379100034</v>
      </c>
      <c r="N6" s="18">
        <f t="shared" ref="N6:N14" ca="1" si="17">(RAND() * (0.6 - 0.05)+0.05) *R6</f>
        <v>3.1799916092459291</v>
      </c>
      <c r="O6" s="18">
        <f t="shared" ref="O6:O14" ca="1" si="18">P6*F6</f>
        <v>9.4713833567085359</v>
      </c>
      <c r="P6" s="18">
        <f ca="1">R6-N6</f>
        <v>6.8200083907540705</v>
      </c>
      <c r="Q6" s="18">
        <f t="shared" ref="Q6:Q14" ca="1" si="19">R7*F6</f>
        <v>20.831462691927808</v>
      </c>
      <c r="R6" s="18">
        <f t="shared" ref="R6:R14" ca="1" si="20">RANDBETWEEN(0.5,8)*5</f>
        <v>10</v>
      </c>
      <c r="S6" s="19">
        <f t="shared" ref="S6:S14" ca="1" si="21">I6/(1000000*J6)</f>
        <v>5.5855000000000002E-3</v>
      </c>
      <c r="T6" s="53">
        <f t="shared" ca="1" si="3"/>
        <v>43598</v>
      </c>
      <c r="U6" s="53">
        <f t="shared" ca="1" si="4"/>
        <v>43591</v>
      </c>
      <c r="V6" s="11">
        <f ca="1">IF(W6&gt;0,RANDBETWEEN(DATE(2016,12,1),DATE(2021,12,31)),"")</f>
        <v>43591</v>
      </c>
      <c r="W6" s="54">
        <f ca="1">AE6*1000000*(RAND()*(0.25-0.1)+0.1)</f>
        <v>2121586.3029889246</v>
      </c>
      <c r="X6" s="61">
        <f ca="1">VLOOKUP(IF(V6="",U6,V6),'US CPI'!$A$2:$C$178,3,TRUE)</f>
        <v>1.2682942067694423</v>
      </c>
      <c r="Y6" s="54">
        <f t="shared" ca="1" si="5"/>
        <v>2690795.6172422515</v>
      </c>
      <c r="Z6" s="55">
        <f t="shared" ca="1" si="6"/>
        <v>1242925.3587780481</v>
      </c>
      <c r="AA6" s="59">
        <f ca="1">(AE6/AB6)+J6</f>
        <v>87.640070048906793</v>
      </c>
      <c r="AB6" s="66">
        <f ca="1">K6* (AI6* (0.8 + RAND() * 0.4 ) / R6)</f>
        <v>1.7069297749904393</v>
      </c>
      <c r="AC6" s="56">
        <f t="shared" ref="AC6:AC14" ca="1" si="22">AB6*X6</f>
        <v>2.164889144982642</v>
      </c>
      <c r="AD6" s="58">
        <f t="shared" ca="1" si="7"/>
        <v>13.897697339302189</v>
      </c>
      <c r="AE6" s="57">
        <f t="shared" ref="AE6:AE14" ca="1" si="23">(RAND() * (0.25 - 0.05)+0.05) *AI6</f>
        <v>10.957786659533793</v>
      </c>
      <c r="AF6" s="57">
        <f t="shared" ref="AF6:AF14" ca="1" si="24">AH6-AD6</f>
        <v>159.35914889825298</v>
      </c>
      <c r="AG6" s="57">
        <f t="shared" ca="1" si="8"/>
        <v>125.64840874276909</v>
      </c>
      <c r="AH6" s="57">
        <f t="shared" ca="1" si="9"/>
        <v>173.25684623755518</v>
      </c>
      <c r="AI6" s="57">
        <f ca="1">IF(RAND()&gt;0.45,RAND()*(1-0.4)+0.4*R6,(1+14*RAND())*R6)</f>
        <v>136.60619540230289</v>
      </c>
      <c r="AJ6" s="60">
        <f ca="1">(Z6+I6)/(1000000*AA6)</f>
        <v>1.9358523536451819E-2</v>
      </c>
      <c r="AK6" s="71">
        <f t="shared" ref="AK6:AK14" ca="1" si="25">AI6*1000000*AJ6</f>
        <v>2644494.2489206167</v>
      </c>
      <c r="AL6" s="71">
        <f t="shared" ref="AL6:AL14" ca="1" si="26">AK6*X6</f>
        <v>3353996.7357411254</v>
      </c>
      <c r="AM6" s="64">
        <f ca="1">(G6+W6)/SUM($G$5:$G$14,$W$5:$W$14)</f>
        <v>0.22168705938190306</v>
      </c>
      <c r="AN6" s="65">
        <f ca="1">AK6/(G6+W6)</f>
        <v>1.2144962278848017</v>
      </c>
      <c r="AO6" s="65">
        <f ca="1">AK6/(G6+X6)</f>
        <v>47.344628090646992</v>
      </c>
      <c r="AP6" s="65">
        <f ca="1">I6*AB6/G6</f>
        <v>13.863765838919305</v>
      </c>
      <c r="AQ6" s="65">
        <f ca="1">H6*AB6/G6</f>
        <v>2.3705229283636049</v>
      </c>
      <c r="AR6" s="105" t="s">
        <v>103</v>
      </c>
    </row>
    <row r="7" spans="1:44" ht="16" customHeight="1" x14ac:dyDescent="0.15">
      <c r="A7" s="13" t="s">
        <v>5</v>
      </c>
      <c r="B7" s="14">
        <f t="shared" ref="B7:B14" ca="1" si="27">C7 + RANDBETWEEN(5,20)</f>
        <v>41887</v>
      </c>
      <c r="C7" s="11">
        <f t="shared" ca="1" si="10"/>
        <v>41875</v>
      </c>
      <c r="D7" s="20">
        <f t="shared" ca="1" si="0"/>
        <v>83910</v>
      </c>
      <c r="E7" s="16">
        <f ca="1">VLOOKUP(C7,'FX EUR USD'!$A$2:$B$2663,2,TRUE)</f>
        <v>1.3242</v>
      </c>
      <c r="F7" s="62">
        <f ca="1">VLOOKUP(C7,'US CPI'!$A$2:$C$178,3,TRUE)</f>
        <v>1.3655550510401426</v>
      </c>
      <c r="G7" s="16">
        <f t="shared" ca="1" si="11"/>
        <v>111113.622</v>
      </c>
      <c r="H7" s="16">
        <f t="shared" ca="1" si="12"/>
        <v>151731.76776146513</v>
      </c>
      <c r="I7" s="17">
        <f ca="1">RANDBETWEEN(100000,500000)</f>
        <v>289673</v>
      </c>
      <c r="J7" s="51">
        <f t="shared" ca="1" si="13"/>
        <v>39.104971305858435</v>
      </c>
      <c r="K7" s="52">
        <f t="shared" ca="1" si="14"/>
        <v>0.38358294352597583</v>
      </c>
      <c r="L7" s="52">
        <f t="shared" ca="1" si="15"/>
        <v>0.52380362602474206</v>
      </c>
      <c r="M7" s="52">
        <f t="shared" ca="1" si="16"/>
        <v>10.057757170405521</v>
      </c>
      <c r="N7" s="18">
        <f t="shared" ca="1" si="17"/>
        <v>7.3653253032490573</v>
      </c>
      <c r="O7" s="18">
        <f t="shared" ca="1" si="18"/>
        <v>10.425568595196619</v>
      </c>
      <c r="P7" s="18">
        <f ca="1">R7-N7</f>
        <v>7.6346746967509427</v>
      </c>
      <c r="Q7" s="18">
        <f t="shared" ca="1" si="19"/>
        <v>40.966651531204278</v>
      </c>
      <c r="R7" s="18">
        <f t="shared" ca="1" si="20"/>
        <v>15</v>
      </c>
      <c r="S7" s="19">
        <f t="shared" ca="1" si="21"/>
        <v>7.4075747999999995E-3</v>
      </c>
      <c r="T7" s="53" t="str">
        <f t="shared" ca="1" si="3"/>
        <v/>
      </c>
      <c r="U7" s="53">
        <f t="shared" ca="1" si="4"/>
        <v>43659</v>
      </c>
      <c r="V7" s="11" t="str">
        <f ca="1">IF(W7&gt;0,RANDBETWEEN(DATE(2016,12,1),DATE(2021,12,31)),"")</f>
        <v/>
      </c>
      <c r="W7" s="54">
        <v>0</v>
      </c>
      <c r="X7" s="61">
        <f ca="1">VLOOKUP(IF(V7="",U7,V7),'US CPI'!$A$2:$C$178,3,TRUE)</f>
        <v>1.2659263907456415</v>
      </c>
      <c r="Y7" s="54">
        <f t="shared" ca="1" si="5"/>
        <v>0</v>
      </c>
      <c r="Z7" s="55">
        <f t="shared" ca="1" si="6"/>
        <v>0</v>
      </c>
      <c r="AA7" s="59">
        <f ca="1">(AE7/AB7)+J7</f>
        <v>45.680537331576907</v>
      </c>
      <c r="AB7" s="66">
        <f ca="1">K7* (AI7* (0.8 + RAND() * 0.4 ) / R7)</f>
        <v>0.16602521515741184</v>
      </c>
      <c r="AC7" s="56">
        <f t="shared" ca="1" si="22"/>
        <v>0.21017570139699093</v>
      </c>
      <c r="AD7" s="58">
        <f t="shared" ca="1" si="7"/>
        <v>1.3820242015376039</v>
      </c>
      <c r="AE7" s="57">
        <f t="shared" ca="1" si="23"/>
        <v>1.0917097642016766</v>
      </c>
      <c r="AF7" s="57">
        <f t="shared" ca="1" si="24"/>
        <v>6.5969629758795669</v>
      </c>
      <c r="AG7" s="57">
        <f t="shared" ca="1" si="8"/>
        <v>5.2111742231662452</v>
      </c>
      <c r="AH7" s="57">
        <f t="shared" ca="1" si="9"/>
        <v>7.9789871774171708</v>
      </c>
      <c r="AI7" s="57">
        <f ca="1">IF(RAND()&gt;0.45,RAND()*(1-0.4)+0.4*R7,(1+14*RAND())*R7)</f>
        <v>6.3028839873679221</v>
      </c>
      <c r="AJ7" s="60">
        <f ca="1">(Z7+I7)/(1000000*AA7)</f>
        <v>6.3412782975247987E-3</v>
      </c>
      <c r="AK7" s="71">
        <f t="shared" ca="1" si="25"/>
        <v>39968.341440912773</v>
      </c>
      <c r="AL7" s="71">
        <f t="shared" ca="1" si="26"/>
        <v>50596.978224384162</v>
      </c>
      <c r="AM7" s="64">
        <f ca="1">(G7+W7)/SUM($G$5:$G$14,$W$5:$W$14)</f>
        <v>1.1312567684208028E-2</v>
      </c>
      <c r="AN7" s="65">
        <f ca="1">AK7/(G7+W7)</f>
        <v>0.35970694431068739</v>
      </c>
      <c r="AO7" s="65">
        <f ca="1">AK7/(G7+X7)</f>
        <v>0.35970284618736448</v>
      </c>
      <c r="AP7" s="65">
        <f ca="1">I7*AB7/G7</f>
        <v>0.43282741831863741</v>
      </c>
      <c r="AQ7" s="65">
        <f ca="1">H7*AB7/G7</f>
        <v>0.22671657115823021</v>
      </c>
      <c r="AR7" s="105" t="s">
        <v>104</v>
      </c>
    </row>
    <row r="8" spans="1:44" ht="15.75" customHeight="1" x14ac:dyDescent="0.15">
      <c r="A8" s="13" t="s">
        <v>6</v>
      </c>
      <c r="B8" s="14">
        <f t="shared" ca="1" si="27"/>
        <v>41600</v>
      </c>
      <c r="C8" s="11">
        <f t="shared" ca="1" si="10"/>
        <v>41594</v>
      </c>
      <c r="D8" s="15">
        <f t="shared" ca="1" si="0"/>
        <v>61145</v>
      </c>
      <c r="E8" s="16">
        <v>1</v>
      </c>
      <c r="F8" s="62">
        <f ca="1">VLOOKUP(C8,'US CPI'!$A$2:$C$178,3,TRUE)</f>
        <v>1.3935787256134451</v>
      </c>
      <c r="G8" s="16">
        <f t="shared" ca="1" si="11"/>
        <v>61145</v>
      </c>
      <c r="H8" s="16">
        <f t="shared" ca="1" si="12"/>
        <v>85210.371177634093</v>
      </c>
      <c r="I8" s="17">
        <f t="shared" ca="1" si="1"/>
        <v>298863</v>
      </c>
      <c r="J8" s="51">
        <f t="shared" ca="1" si="13"/>
        <v>146.63324883473709</v>
      </c>
      <c r="K8" s="52">
        <f t="shared" ca="1" si="14"/>
        <v>0.20459207061429485</v>
      </c>
      <c r="L8" s="52">
        <f t="shared" ca="1" si="15"/>
        <v>0.28511515703728496</v>
      </c>
      <c r="M8" s="52">
        <f t="shared" ca="1" si="16"/>
        <v>9.7796985182825154</v>
      </c>
      <c r="N8" s="18">
        <f t="shared" ca="1" si="17"/>
        <v>7.0176864345984837</v>
      </c>
      <c r="O8" s="18">
        <f t="shared" ca="1" si="18"/>
        <v>32.027663250120838</v>
      </c>
      <c r="P8" s="18">
        <f t="shared" ca="1" si="2"/>
        <v>22.982313565401515</v>
      </c>
      <c r="Q8" s="18">
        <f t="shared" ca="1" si="19"/>
        <v>6.967893628067225</v>
      </c>
      <c r="R8" s="18">
        <f t="shared" ca="1" si="20"/>
        <v>30</v>
      </c>
      <c r="S8" s="19">
        <f t="shared" ca="1" si="21"/>
        <v>2.0381666666666669E-3</v>
      </c>
      <c r="T8" s="53" t="str">
        <f t="shared" ca="1" si="3"/>
        <v/>
      </c>
      <c r="U8" s="53">
        <f t="shared" ca="1" si="4"/>
        <v>42891</v>
      </c>
      <c r="V8" s="11" t="str">
        <f t="shared" ref="V8:V14" ca="1" si="28">IF(W8&gt;0,RANDBETWEEN(DATE(2016,12,1),DATE(2021,12,31)),"")</f>
        <v/>
      </c>
      <c r="W8" s="54">
        <v>0</v>
      </c>
      <c r="X8" s="61">
        <f ca="1">VLOOKUP(IF(V8="",U8,V8),'US CPI'!$A$2:$C$178,3,TRUE)</f>
        <v>1.3259578289889979</v>
      </c>
      <c r="Y8" s="54">
        <f t="shared" ca="1" si="5"/>
        <v>0</v>
      </c>
      <c r="Z8" s="55">
        <f t="shared" ca="1" si="6"/>
        <v>0</v>
      </c>
      <c r="AA8" s="59">
        <f ca="1">(AE8/AB8)+J8</f>
        <v>157.19369494553942</v>
      </c>
      <c r="AB8" s="66">
        <f ca="1">K8* (AI8* (0.8 + RAND() * 0.4 ) / R8)</f>
        <v>2.7169774885000764</v>
      </c>
      <c r="AC8" s="56">
        <f t="shared" ca="1" si="22"/>
        <v>3.6025975720635413</v>
      </c>
      <c r="AD8" s="58">
        <f t="shared" ca="1" si="7"/>
        <v>38.045037518684389</v>
      </c>
      <c r="AE8" s="57">
        <f t="shared" ca="1" si="23"/>
        <v>28.692494351568151</v>
      </c>
      <c r="AF8" s="57">
        <f t="shared" ca="1" si="24"/>
        <v>452.810172605395</v>
      </c>
      <c r="AG8" s="57">
        <f t="shared" ca="1" si="8"/>
        <v>341.49666203988465</v>
      </c>
      <c r="AH8" s="57">
        <f t="shared" ca="1" si="9"/>
        <v>490.85521012407941</v>
      </c>
      <c r="AI8" s="57">
        <f ca="1">IF(RAND()&gt;0.45,RAND()*(1-0.4)+0.4*R8,(1+14*RAND())*R8)</f>
        <v>370.1891563914528</v>
      </c>
      <c r="AJ8" s="60">
        <f ca="1">(Z8+I8)/(1000000*AA8)</f>
        <v>1.901240378016069E-3</v>
      </c>
      <c r="AK8" s="71">
        <f ca="1">AI8*1000000*AJ8</f>
        <v>703818.57163513533</v>
      </c>
      <c r="AL8" s="71">
        <f t="shared" ca="1" si="26"/>
        <v>933233.7452474616</v>
      </c>
      <c r="AM8" s="64">
        <f ca="1">(G8+W8)/SUM($G$5:$G$14,$W$5:$W$14)</f>
        <v>6.2252218818940113E-3</v>
      </c>
      <c r="AN8" s="65">
        <f ca="1">AK8/(G8+W8)</f>
        <v>11.510647994686979</v>
      </c>
      <c r="AO8" s="65">
        <f ca="1">AK8/(G8+X8)</f>
        <v>11.510398386332165</v>
      </c>
      <c r="AP8" s="65">
        <f ca="1">I8*AB8/G8</f>
        <v>13.27997453832036</v>
      </c>
      <c r="AQ8" s="65">
        <f ca="1">H8*AB8/G8</f>
        <v>3.7863220259443544</v>
      </c>
      <c r="AR8" s="105" t="s">
        <v>105</v>
      </c>
    </row>
    <row r="9" spans="1:44" ht="17" customHeight="1" x14ac:dyDescent="0.15">
      <c r="A9" s="13" t="s">
        <v>7</v>
      </c>
      <c r="B9" s="14">
        <f t="shared" ca="1" si="27"/>
        <v>41511</v>
      </c>
      <c r="C9" s="11">
        <f t="shared" ca="1" si="10"/>
        <v>41504</v>
      </c>
      <c r="D9" s="15">
        <f t="shared" ca="1" si="0"/>
        <v>62923</v>
      </c>
      <c r="E9" s="16">
        <v>1</v>
      </c>
      <c r="F9" s="62">
        <f ca="1">VLOOKUP(C9,'US CPI'!$A$2:$C$178,3,TRUE)</f>
        <v>1.3887641794618539</v>
      </c>
      <c r="G9" s="16">
        <f t="shared" ca="1" si="11"/>
        <v>62923</v>
      </c>
      <c r="H9" s="16">
        <f t="shared" ca="1" si="12"/>
        <v>87385.208464278228</v>
      </c>
      <c r="I9" s="17">
        <f t="shared" ca="1" si="1"/>
        <v>266941</v>
      </c>
      <c r="J9" s="51">
        <f t="shared" ca="1" si="13"/>
        <v>21.211719085231156</v>
      </c>
      <c r="K9" s="52">
        <f t="shared" ca="1" si="14"/>
        <v>0.23571875433148148</v>
      </c>
      <c r="L9" s="52">
        <f t="shared" ca="1" si="15"/>
        <v>0.32735776244293019</v>
      </c>
      <c r="M9" s="52">
        <f t="shared" ca="1" si="16"/>
        <v>2.1589562434688041</v>
      </c>
      <c r="N9" s="18">
        <f t="shared" ca="1" si="17"/>
        <v>1.5545880829856942</v>
      </c>
      <c r="O9" s="18">
        <f t="shared" ca="1" si="18"/>
        <v>4.784864653840466</v>
      </c>
      <c r="P9" s="18">
        <f t="shared" ca="1" si="2"/>
        <v>3.4454119170143058</v>
      </c>
      <c r="Q9" s="18">
        <f t="shared" ca="1" si="19"/>
        <v>13.887641794618538</v>
      </c>
      <c r="R9" s="18">
        <f t="shared" ca="1" si="20"/>
        <v>5</v>
      </c>
      <c r="S9" s="19">
        <f t="shared" ca="1" si="21"/>
        <v>1.25846E-2</v>
      </c>
      <c r="T9" s="53">
        <f t="shared" ca="1" si="3"/>
        <v>43573</v>
      </c>
      <c r="U9" s="53">
        <f t="shared" ca="1" si="4"/>
        <v>43563</v>
      </c>
      <c r="V9" s="11">
        <f t="shared" ca="1" si="28"/>
        <v>43563</v>
      </c>
      <c r="W9" s="54">
        <f ca="1">AE9*1000000*(RAND()*(0.25-0.1)+0.1)</f>
        <v>90163.567610141385</v>
      </c>
      <c r="X9" s="61">
        <f ca="1">VLOOKUP(IF(V9="",U9,V9),'US CPI'!$A$2:$C$178,3,TRUE)</f>
        <v>1.2709940989559692</v>
      </c>
      <c r="Y9" s="54">
        <f t="shared" ca="1" si="5"/>
        <v>114597.36237330726</v>
      </c>
      <c r="Z9" s="55">
        <f t="shared" ca="1" si="6"/>
        <v>1038101.3857771152</v>
      </c>
      <c r="AA9" s="59">
        <f ca="1">(AE9/AB9)+J9</f>
        <v>26.564319264568049</v>
      </c>
      <c r="AB9" s="66">
        <f ca="1">K9* (AI9* (0.8 + RAND() * 0.4 ) / R9)</f>
        <v>8.6854298477451297E-2</v>
      </c>
      <c r="AC9" s="56">
        <f t="shared" ca="1" si="22"/>
        <v>0.11039130083380101</v>
      </c>
      <c r="AD9" s="58">
        <f t="shared" ca="1" si="7"/>
        <v>0.59088049664023601</v>
      </c>
      <c r="AE9" s="57">
        <f t="shared" ca="1" si="23"/>
        <v>0.46489633360658567</v>
      </c>
      <c r="AF9" s="57">
        <f t="shared" ca="1" si="24"/>
        <v>2.2998275077153743</v>
      </c>
      <c r="AG9" s="57">
        <f t="shared" ca="1" si="8"/>
        <v>1.8094714283917746</v>
      </c>
      <c r="AH9" s="57">
        <f t="shared" ca="1" si="9"/>
        <v>2.8907080043556102</v>
      </c>
      <c r="AI9" s="57">
        <f ca="1">IF(RAND()&gt;0.45,RAND()*(1-0.4)+0.4*R9,(1+14*RAND())*R9)</f>
        <v>2.2743677619983602</v>
      </c>
      <c r="AJ9" s="60">
        <f ca="1">(Z9+I9)/(1000000*AA9)</f>
        <v>4.912764271425557E-2</v>
      </c>
      <c r="AK9" s="71">
        <f t="shared" ca="1" si="25"/>
        <v>111734.32681227649</v>
      </c>
      <c r="AL9" s="71">
        <f t="shared" ca="1" si="26"/>
        <v>142013.67002922113</v>
      </c>
      <c r="AM9" s="64">
        <f ca="1">(G9+W9)/SUM($G$5:$G$14,$W$5:$W$14)</f>
        <v>1.558586720926812E-2</v>
      </c>
      <c r="AN9" s="65">
        <f ca="1">AK9/(G9+W9)</f>
        <v>0.72987675245829031</v>
      </c>
      <c r="AO9" s="65">
        <f ca="1">AK9/(G9+X9)</f>
        <v>1.7756952134217803</v>
      </c>
      <c r="AP9" s="65">
        <f ca="1">I9*AB9/G9</f>
        <v>0.36846579612970337</v>
      </c>
      <c r="AQ9" s="65">
        <f ca="1">H9*AB9/G9</f>
        <v>0.12062013855777259</v>
      </c>
      <c r="AR9" s="105" t="s">
        <v>105</v>
      </c>
    </row>
    <row r="10" spans="1:44" ht="15.75" customHeight="1" x14ac:dyDescent="0.15">
      <c r="A10" s="13" t="s">
        <v>8</v>
      </c>
      <c r="B10" s="14">
        <f t="shared" ca="1" si="27"/>
        <v>41934</v>
      </c>
      <c r="C10" s="11">
        <f t="shared" ca="1" si="10"/>
        <v>41918</v>
      </c>
      <c r="D10" s="20">
        <f ca="1">ROUND(RANDBETWEEN(50000,200000),0)</f>
        <v>127392</v>
      </c>
      <c r="E10" s="16">
        <f ca="1">VLOOKUP(C10,'FX EUR USD'!$A$2:$B$2663,2,TRUE)</f>
        <v>1.2652000000000001</v>
      </c>
      <c r="F10" s="62">
        <f ca="1">VLOOKUP(C10,'US CPI'!$A$2:$C$178,3,TRUE)</f>
        <v>1.367964857454524</v>
      </c>
      <c r="G10" s="16">
        <f t="shared" ca="1" si="11"/>
        <v>161176.35840000003</v>
      </c>
      <c r="H10" s="16">
        <f t="shared" ca="1" si="12"/>
        <v>220483.59414369531</v>
      </c>
      <c r="I10" s="17">
        <f t="shared" ca="1" si="1"/>
        <v>114919</v>
      </c>
      <c r="J10" s="51">
        <f t="shared" ca="1" si="13"/>
        <v>7.130015911812535</v>
      </c>
      <c r="K10" s="52">
        <f t="shared" ca="1" si="14"/>
        <v>1.4025214142134896</v>
      </c>
      <c r="L10" s="52">
        <f t="shared" ca="1" si="15"/>
        <v>1.9186000064714737</v>
      </c>
      <c r="M10" s="52">
        <f t="shared" ca="1" si="16"/>
        <v>4.8469579810972974</v>
      </c>
      <c r="N10" s="18">
        <f t="shared" ca="1" si="17"/>
        <v>3.5431889603629148</v>
      </c>
      <c r="O10" s="18">
        <f t="shared" ca="1" si="18"/>
        <v>8.8326905934479409</v>
      </c>
      <c r="P10" s="18">
        <f t="shared" ca="1" si="2"/>
        <v>6.4568110396370848</v>
      </c>
      <c r="Q10" s="18">
        <f t="shared" ca="1" si="19"/>
        <v>41.03894572363572</v>
      </c>
      <c r="R10" s="18">
        <f t="shared" ca="1" si="20"/>
        <v>10</v>
      </c>
      <c r="S10" s="19">
        <f t="shared" ca="1" si="21"/>
        <v>1.6117635839999998E-2</v>
      </c>
      <c r="T10" s="53" t="str">
        <f t="shared" ca="1" si="3"/>
        <v/>
      </c>
      <c r="U10" s="53">
        <f t="shared" ca="1" si="4"/>
        <v>44237</v>
      </c>
      <c r="V10" s="11" t="str">
        <f t="shared" ca="1" si="28"/>
        <v/>
      </c>
      <c r="W10" s="54">
        <v>0</v>
      </c>
      <c r="X10" s="61">
        <f ca="1">VLOOKUP(IF(V10="",U10,V10),'US CPI'!$A$2:$C$178,3,TRUE)</f>
        <v>1.2349152516596074</v>
      </c>
      <c r="Y10" s="54">
        <f t="shared" ca="1" si="5"/>
        <v>0</v>
      </c>
      <c r="Z10" s="55">
        <f t="shared" ca="1" si="6"/>
        <v>0</v>
      </c>
      <c r="AA10" s="59">
        <f ca="1">(AE10/AB10)+J10</f>
        <v>7.6866727624830711</v>
      </c>
      <c r="AB10" s="66">
        <f ca="1">K10* (AI10* (0.8 + RAND() * 0.4 ) / R10)</f>
        <v>0.68454875107141411</v>
      </c>
      <c r="AC10" s="56">
        <f t="shared" ca="1" si="22"/>
        <v>0.84535969320262527</v>
      </c>
      <c r="AD10" s="58">
        <f t="shared" ca="1" si="7"/>
        <v>0.470575264501984</v>
      </c>
      <c r="AE10" s="57">
        <f t="shared" ca="1" si="23"/>
        <v>0.38105875190186217</v>
      </c>
      <c r="AF10" s="57">
        <f t="shared" ca="1" si="24"/>
        <v>4.9565389426484927</v>
      </c>
      <c r="AG10" s="57">
        <f t="shared" ca="1" si="8"/>
        <v>4.0136672828255877</v>
      </c>
      <c r="AH10" s="57">
        <f t="shared" ca="1" si="9"/>
        <v>5.4271142071504768</v>
      </c>
      <c r="AI10" s="57">
        <f ca="1">IF(RAND()&gt;0.45,RAND()*(1-0.4)+0.4*R10,(1+14*RAND())*R10)</f>
        <v>4.3947260347274497</v>
      </c>
      <c r="AJ10" s="60">
        <f ca="1">(Z10+I10)/(1000000*AA10)</f>
        <v>1.49504217950963E-2</v>
      </c>
      <c r="AK10" s="71">
        <f t="shared" ca="1" si="25"/>
        <v>65703.007893066402</v>
      </c>
      <c r="AL10" s="71">
        <f t="shared" ca="1" si="26"/>
        <v>81137.64652705926</v>
      </c>
      <c r="AM10" s="64">
        <f ca="1">(G10+W10)/SUM($G$5:$G$14,$W$5:$W$14)</f>
        <v>1.6409495349671632E-2</v>
      </c>
      <c r="AN10" s="65">
        <f ca="1">AK10/(G10+W10)</f>
        <v>0.4076466830824389</v>
      </c>
      <c r="AO10" s="65">
        <f ca="1">AK10/(G10+X10)</f>
        <v>0.40764355976302535</v>
      </c>
      <c r="AP10" s="65">
        <f ca="1">I10*AB10/G10</f>
        <v>0.48808434875505796</v>
      </c>
      <c r="AQ10" s="65">
        <f ca="1">H10*AB10/G10</f>
        <v>0.93643863468007948</v>
      </c>
      <c r="AR10" s="105" t="s">
        <v>104</v>
      </c>
    </row>
    <row r="11" spans="1:44" ht="15.75" customHeight="1" x14ac:dyDescent="0.15">
      <c r="A11" s="13" t="s">
        <v>9</v>
      </c>
      <c r="B11" s="14">
        <f t="shared" ca="1" si="27"/>
        <v>41648</v>
      </c>
      <c r="C11" s="11">
        <f t="shared" ca="1" si="10"/>
        <v>41637</v>
      </c>
      <c r="D11" s="15">
        <f t="shared" ca="1" si="0"/>
        <v>53505</v>
      </c>
      <c r="E11" s="16">
        <v>1</v>
      </c>
      <c r="F11" s="62">
        <f ca="1">VLOOKUP(C11,'US CPI'!$A$2:$C$178,3,TRUE)</f>
        <v>1.3936983209539624</v>
      </c>
      <c r="G11" s="16">
        <f t="shared" ca="1" si="11"/>
        <v>53505</v>
      </c>
      <c r="H11" s="16">
        <f t="shared" ca="1" si="12"/>
        <v>74569.828662641754</v>
      </c>
      <c r="I11" s="17">
        <f t="shared" ca="1" si="1"/>
        <v>141787</v>
      </c>
      <c r="J11" s="51">
        <f t="shared" ca="1" si="13"/>
        <v>79.499299130922338</v>
      </c>
      <c r="K11" s="52">
        <f t="shared" ca="1" si="14"/>
        <v>0.37736181737394825</v>
      </c>
      <c r="L11" s="52">
        <f t="shared" ca="1" si="15"/>
        <v>0.52592853126620742</v>
      </c>
      <c r="M11" s="52">
        <f t="shared" ca="1" si="16"/>
        <v>24.822127543476231</v>
      </c>
      <c r="N11" s="18">
        <f t="shared" ca="1" si="17"/>
        <v>17.810258626476578</v>
      </c>
      <c r="O11" s="18">
        <f t="shared" ca="1" si="18"/>
        <v>16.98882208514264</v>
      </c>
      <c r="P11" s="18">
        <f t="shared" ca="1" si="2"/>
        <v>12.189741373523422</v>
      </c>
      <c r="Q11" s="18">
        <f t="shared" ca="1" si="19"/>
        <v>34.842458023849062</v>
      </c>
      <c r="R11" s="18">
        <f t="shared" ca="1" si="20"/>
        <v>30</v>
      </c>
      <c r="S11" s="19">
        <f t="shared" ca="1" si="21"/>
        <v>1.7835000000000001E-3</v>
      </c>
      <c r="T11" s="53">
        <f t="shared" ca="1" si="3"/>
        <v>44536</v>
      </c>
      <c r="U11" s="53">
        <f t="shared" ca="1" si="4"/>
        <v>44522</v>
      </c>
      <c r="V11" s="11">
        <f t="shared" ca="1" si="28"/>
        <v>44522</v>
      </c>
      <c r="W11" s="54">
        <f ca="1">AE11*1000000*(RAND()*(0.25-0.1)+0.1)</f>
        <v>163799.35719859641</v>
      </c>
      <c r="X11" s="61">
        <f ca="1">VLOOKUP(IF(V11="",U11,V11),'US CPI'!$A$2:$C$178,3,TRUE)</f>
        <v>1.1685639040396048</v>
      </c>
      <c r="Y11" s="54">
        <f t="shared" ca="1" si="5"/>
        <v>191410.01632716955</v>
      </c>
      <c r="Z11" s="55">
        <f t="shared" ca="1" si="6"/>
        <v>1236535.2306320153</v>
      </c>
      <c r="AA11" s="59">
        <f ca="1">(AE11/AB11)+J11</f>
        <v>86.679825210653192</v>
      </c>
      <c r="AB11" s="66">
        <f ca="1">K11* (AI11* (0.8 + RAND() * 0.4 ) / R11)</f>
        <v>0.13246638926322837</v>
      </c>
      <c r="AC11" s="56">
        <f t="shared" ca="1" si="22"/>
        <v>0.15479544099146814</v>
      </c>
      <c r="AD11" s="58">
        <f t="shared" ca="1" si="7"/>
        <v>1.1115127010626749</v>
      </c>
      <c r="AE11" s="57">
        <f t="shared" ca="1" si="23"/>
        <v>0.95117836279238999</v>
      </c>
      <c r="AF11" s="57">
        <f t="shared" ca="1" si="24"/>
        <v>13.248088048475218</v>
      </c>
      <c r="AG11" s="57">
        <f t="shared" ca="1" si="8"/>
        <v>11.337067662862037</v>
      </c>
      <c r="AH11" s="57">
        <f t="shared" ca="1" si="9"/>
        <v>14.359600749537893</v>
      </c>
      <c r="AI11" s="57">
        <f ca="1">IF(RAND()&gt;0.45,RAND()*(1-0.4)+0.4*R11,(1+14*RAND())*R11)</f>
        <v>12.288246025654427</v>
      </c>
      <c r="AJ11" s="60">
        <f ca="1">(Z11+I11)/(1000000*AA11)</f>
        <v>1.5901303761081141E-2</v>
      </c>
      <c r="AK11" s="71">
        <f t="shared" ca="1" si="25"/>
        <v>195399.13274482914</v>
      </c>
      <c r="AL11" s="71">
        <f t="shared" ca="1" si="26"/>
        <v>228336.37340625052</v>
      </c>
      <c r="AM11" s="64">
        <f ca="1">(G11+W11)/SUM($G$5:$G$14,$W$5:$W$14)</f>
        <v>2.212393228332022E-2</v>
      </c>
      <c r="AN11" s="65">
        <f ca="1">AK11/(G11+W11)</f>
        <v>0.8991956501187508</v>
      </c>
      <c r="AO11" s="65">
        <f ca="1">AK11/(G11+X11)</f>
        <v>3.6518991732973376</v>
      </c>
      <c r="AP11" s="65">
        <f ca="1">I11*AB11/G11</f>
        <v>0.35103283682768643</v>
      </c>
      <c r="AQ11" s="65">
        <f ca="1">H11*AB11/G11</f>
        <v>0.18461818429899537</v>
      </c>
      <c r="AR11" s="105" t="s">
        <v>103</v>
      </c>
    </row>
    <row r="12" spans="1:44" ht="15.75" customHeight="1" x14ac:dyDescent="0.15">
      <c r="A12" s="13" t="s">
        <v>10</v>
      </c>
      <c r="B12" s="14">
        <f t="shared" ca="1" si="27"/>
        <v>42037</v>
      </c>
      <c r="C12" s="11">
        <f t="shared" ca="1" si="10"/>
        <v>42025</v>
      </c>
      <c r="D12" s="20">
        <f t="shared" ca="1" si="0"/>
        <v>112612</v>
      </c>
      <c r="E12" s="16">
        <f ca="1">VLOOKUP(C12,'FX EUR USD'!$A$2:$B$2663,2,TRUE)</f>
        <v>1.1608000000000001</v>
      </c>
      <c r="F12" s="62">
        <f ca="1">VLOOKUP(C12,'US CPI'!$A$2:$C$178,3,TRUE)</f>
        <v>1.3897743756070637</v>
      </c>
      <c r="G12" s="16">
        <f t="shared" ca="1" si="11"/>
        <v>130720.0096</v>
      </c>
      <c r="H12" s="16">
        <f t="shared" ca="1" si="12"/>
        <v>181671.31972118939</v>
      </c>
      <c r="I12" s="17">
        <f t="shared" ca="1" si="1"/>
        <v>339723</v>
      </c>
      <c r="J12" s="51">
        <f t="shared" ca="1" si="13"/>
        <v>64.971499206499445</v>
      </c>
      <c r="K12" s="52">
        <f t="shared" ca="1" si="14"/>
        <v>0.38478410234220234</v>
      </c>
      <c r="L12" s="52">
        <f t="shared" ca="1" si="15"/>
        <v>0.53476308557615881</v>
      </c>
      <c r="M12" s="52">
        <f t="shared" ca="1" si="16"/>
        <v>4.5856141496845728</v>
      </c>
      <c r="N12" s="18">
        <f t="shared" ca="1" si="17"/>
        <v>3.2995385655182647</v>
      </c>
      <c r="O12" s="18">
        <f t="shared" ca="1" si="18"/>
        <v>30.158745240492021</v>
      </c>
      <c r="P12" s="18">
        <f t="shared" ca="1" si="2"/>
        <v>21.700461434481735</v>
      </c>
      <c r="Q12" s="18">
        <f t="shared" ca="1" si="19"/>
        <v>20.846615634105955</v>
      </c>
      <c r="R12" s="18">
        <f t="shared" ca="1" si="20"/>
        <v>25</v>
      </c>
      <c r="S12" s="19">
        <f t="shared" ca="1" si="21"/>
        <v>5.2288003840000007E-3</v>
      </c>
      <c r="T12" s="53">
        <f t="shared" ca="1" si="3"/>
        <v>43908</v>
      </c>
      <c r="U12" s="53">
        <f t="shared" ca="1" si="4"/>
        <v>43903</v>
      </c>
      <c r="V12" s="11">
        <f t="shared" ca="1" si="28"/>
        <v>43903</v>
      </c>
      <c r="W12" s="54">
        <f t="shared" ref="W12:W13" ca="1" si="29">AE12*1000000*(RAND()*(0.25-0.1)+0.1)</f>
        <v>6117664.2867506491</v>
      </c>
      <c r="X12" s="61">
        <f ca="1">VLOOKUP(IF(V12="",U12,V12),'US CPI'!$A$2:$C$178,3,TRUE)</f>
        <v>1.2583538345311198</v>
      </c>
      <c r="Y12" s="54">
        <f t="shared" ca="1" si="5"/>
        <v>7698186.3136067679</v>
      </c>
      <c r="Z12" s="55">
        <f t="shared" ca="1" si="6"/>
        <v>1873713.643248047</v>
      </c>
      <c r="AA12" s="59">
        <f ca="1">(AE12/AB12)+J12</f>
        <v>73.840025408823266</v>
      </c>
      <c r="AB12" s="66">
        <f ca="1">K12* (AI12* (0.8 + RAND() * 0.4 ) / R12)</f>
        <v>3.2649942582185583</v>
      </c>
      <c r="AC12" s="56">
        <f t="shared" ca="1" si="22"/>
        <v>4.1085180445514116</v>
      </c>
      <c r="AD12" s="58">
        <f t="shared" ca="1" si="7"/>
        <v>36.436499930824404</v>
      </c>
      <c r="AE12" s="57">
        <f t="shared" ca="1" si="23"/>
        <v>28.955687129448094</v>
      </c>
      <c r="AF12" s="57">
        <f t="shared" ca="1" si="24"/>
        <v>262.40193851063384</v>
      </c>
      <c r="AG12" s="57">
        <f t="shared" ca="1" si="8"/>
        <v>208.52794445404021</v>
      </c>
      <c r="AH12" s="57">
        <f t="shared" ca="1" si="9"/>
        <v>298.83843844145827</v>
      </c>
      <c r="AI12" s="57">
        <f ca="1">IF(RAND()&gt;0.45,RAND()*(1-0.4)+0.4*R12,(1+14*RAND())*R12)</f>
        <v>237.48363158348832</v>
      </c>
      <c r="AJ12" s="60">
        <f ca="1">(Z12+I12)/(1000000*AA12)</f>
        <v>2.9976108905612045E-2</v>
      </c>
      <c r="AK12" s="71">
        <f t="shared" ca="1" si="25"/>
        <v>7118835.2036468936</v>
      </c>
      <c r="AL12" s="71">
        <f t="shared" ca="1" si="26"/>
        <v>8958013.5759041943</v>
      </c>
      <c r="AM12" s="64">
        <f ca="1">(G12+W12)/SUM($G$5:$G$14,$W$5:$W$14)</f>
        <v>0.63615305663790955</v>
      </c>
      <c r="AN12" s="65">
        <f ca="1">AK12/(G12+W12)</f>
        <v>1.1393081580793019</v>
      </c>
      <c r="AO12" s="65">
        <f ca="1">AK12/(G12+X12)</f>
        <v>54.458125407420148</v>
      </c>
      <c r="AP12" s="65">
        <f ca="1">I12*AB12/G12</f>
        <v>8.4852628742828919</v>
      </c>
      <c r="AQ12" s="65">
        <f ca="1">H12*AB12/G12</f>
        <v>4.5376053565763446</v>
      </c>
      <c r="AR12" s="105" t="s">
        <v>102</v>
      </c>
    </row>
    <row r="13" spans="1:44" ht="15.75" customHeight="1" x14ac:dyDescent="0.15">
      <c r="A13" s="13" t="s">
        <v>11</v>
      </c>
      <c r="B13" s="14">
        <f t="shared" ca="1" si="27"/>
        <v>42022</v>
      </c>
      <c r="C13" s="11">
        <f t="shared" ca="1" si="10"/>
        <v>42015</v>
      </c>
      <c r="D13" s="21">
        <f t="shared" ca="1" si="0"/>
        <v>100103</v>
      </c>
      <c r="E13" s="16">
        <f ca="1">VLOOKUP(C13, 'FX GBP USD'!$A$2:$B$2633,2, TRUE)</f>
        <v>1.5158</v>
      </c>
      <c r="F13" s="62">
        <f ca="1">VLOOKUP(C13,'US CPI'!$A$2:$C$178,3,TRUE)</f>
        <v>1.3897743756070637</v>
      </c>
      <c r="G13" s="16">
        <f t="shared" ca="1" si="11"/>
        <v>151736.1274</v>
      </c>
      <c r="H13" s="16">
        <f t="shared" ca="1" si="12"/>
        <v>210878.98171436889</v>
      </c>
      <c r="I13" s="17">
        <f t="shared" ca="1" si="1"/>
        <v>249397</v>
      </c>
      <c r="J13" s="51">
        <f t="shared" ca="1" si="13"/>
        <v>24.654346094771892</v>
      </c>
      <c r="K13" s="52">
        <f t="shared" ca="1" si="14"/>
        <v>0.60841199934241386</v>
      </c>
      <c r="L13" s="52">
        <f t="shared" ca="1" si="15"/>
        <v>0.84555540649794847</v>
      </c>
      <c r="M13" s="52">
        <f t="shared" ca="1" si="16"/>
        <v>5.7373932549869693</v>
      </c>
      <c r="N13" s="18">
        <f t="shared" ca="1" si="17"/>
        <v>4.1282911497636681</v>
      </c>
      <c r="O13" s="18">
        <f t="shared" ca="1" si="18"/>
        <v>15.109222379118986</v>
      </c>
      <c r="P13" s="18">
        <f t="shared" ca="1" si="2"/>
        <v>10.871708850236331</v>
      </c>
      <c r="Q13" s="18">
        <f t="shared" ca="1" si="19"/>
        <v>6.9488718780353187</v>
      </c>
      <c r="R13" s="18">
        <f t="shared" ca="1" si="20"/>
        <v>15</v>
      </c>
      <c r="S13" s="19">
        <f t="shared" ca="1" si="21"/>
        <v>1.0115741826666667E-2</v>
      </c>
      <c r="T13" s="53">
        <f t="shared" ca="1" si="3"/>
        <v>42931</v>
      </c>
      <c r="U13" s="53">
        <f t="shared" ca="1" si="4"/>
        <v>42921</v>
      </c>
      <c r="V13" s="11">
        <f t="shared" ca="1" si="28"/>
        <v>42921</v>
      </c>
      <c r="W13" s="54">
        <f t="shared" ca="1" si="29"/>
        <v>175451.68109004045</v>
      </c>
      <c r="X13" s="61">
        <f ca="1">VLOOKUP(IF(V13="",U13,V13),'US CPI'!$A$2:$C$178,3,TRUE)</f>
        <v>1.3268732688960971</v>
      </c>
      <c r="Y13" s="54">
        <f t="shared" ca="1" si="5"/>
        <v>232802.14562125751</v>
      </c>
      <c r="Z13" s="55">
        <f t="shared" ca="1" si="6"/>
        <v>786904.45003013464</v>
      </c>
      <c r="AA13" s="59">
        <f ca="1">(AE13/AB13)+J13</f>
        <v>30.078252336918155</v>
      </c>
      <c r="AB13" s="66">
        <f ca="1">K13* (AI13* (0.8 + RAND() * 0.4 ) / R13)</f>
        <v>0.22296440321734295</v>
      </c>
      <c r="AC13" s="56">
        <f t="shared" ca="1" si="22"/>
        <v>0.29584550654446334</v>
      </c>
      <c r="AD13" s="58">
        <f t="shared" ca="1" si="7"/>
        <v>1.6046382896574376</v>
      </c>
      <c r="AE13" s="57">
        <f t="shared" ca="1" si="23"/>
        <v>1.2093380183869626</v>
      </c>
      <c r="AF13" s="57">
        <f t="shared" ca="1" si="24"/>
        <v>6.4284417420269975</v>
      </c>
      <c r="AG13" s="57">
        <f t="shared" ca="1" si="8"/>
        <v>4.8448046190388556</v>
      </c>
      <c r="AH13" s="57">
        <f t="shared" ca="1" si="9"/>
        <v>8.0330800316844346</v>
      </c>
      <c r="AI13" s="57">
        <f ca="1">IF(RAND()&gt;0.45,RAND()*(1-0.4)+0.4*R13,(1+14*RAND())*R13)</f>
        <v>6.0541426374258185</v>
      </c>
      <c r="AJ13" s="60">
        <f ca="1">(Z13+I13)/(1000000*AA13)</f>
        <v>3.4453512738111272E-2</v>
      </c>
      <c r="AK13" s="71">
        <f t="shared" ca="1" si="25"/>
        <v>208586.48047689302</v>
      </c>
      <c r="AL13" s="71">
        <f t="shared" ca="1" si="26"/>
        <v>276767.82519790699</v>
      </c>
      <c r="AM13" s="64">
        <f ca="1">(G13+W13)/SUM($G$5:$G$14,$W$5:$W$14)</f>
        <v>3.3311255293174379E-2</v>
      </c>
      <c r="AN13" s="65">
        <f ca="1">AK13/(G13+W13)</f>
        <v>0.63751299731952682</v>
      </c>
      <c r="AO13" s="65">
        <f ca="1">AK13/(G13+X13)</f>
        <v>1.374653881442105</v>
      </c>
      <c r="AP13" s="65">
        <f ca="1">I13*AB13/G13</f>
        <v>0.36646943758230965</v>
      </c>
      <c r="AQ13" s="65">
        <f ca="1">H13*AB13/G13</f>
        <v>0.30987021426398442</v>
      </c>
      <c r="AR13" s="105" t="s">
        <v>102</v>
      </c>
    </row>
    <row r="14" spans="1:44" ht="15.75" customHeight="1" x14ac:dyDescent="0.15">
      <c r="A14" s="13" t="s">
        <v>12</v>
      </c>
      <c r="B14" s="14">
        <f t="shared" ca="1" si="27"/>
        <v>42239</v>
      </c>
      <c r="C14" s="11">
        <f t="shared" ca="1" si="10"/>
        <v>42231</v>
      </c>
      <c r="D14" s="21">
        <f t="shared" ca="1" si="0"/>
        <v>50944</v>
      </c>
      <c r="E14" s="16">
        <f ca="1">VLOOKUP(C14, 'FX GBP USD'!$A$2:$B$2633,2, TRUE)</f>
        <v>1.5643</v>
      </c>
      <c r="F14" s="62">
        <f ca="1">VLOOKUP(C14,'US CPI'!$A$2:$C$178,3,TRUE)</f>
        <v>1.3628963225297503</v>
      </c>
      <c r="G14" s="16">
        <f t="shared" ca="1" si="11"/>
        <v>79691.699200000003</v>
      </c>
      <c r="H14" s="16">
        <f t="shared" ca="1" si="12"/>
        <v>108611.52377582705</v>
      </c>
      <c r="I14" s="17">
        <f t="shared" ca="1" si="1"/>
        <v>446639</v>
      </c>
      <c r="J14" s="51">
        <f t="shared" ca="1" si="13"/>
        <v>28.022931151153063</v>
      </c>
      <c r="K14" s="52">
        <f t="shared" ca="1" si="14"/>
        <v>0.17842530365686832</v>
      </c>
      <c r="L14" s="52">
        <f t="shared" ca="1" si="15"/>
        <v>0.24317519020019984</v>
      </c>
      <c r="M14" s="52">
        <f t="shared" ca="1" si="16"/>
        <v>2.0856858547166857</v>
      </c>
      <c r="N14" s="18">
        <f t="shared" ca="1" si="17"/>
        <v>1.530333467218786</v>
      </c>
      <c r="O14" s="18">
        <f t="shared" ca="1" si="18"/>
        <v>4.7287957579320663</v>
      </c>
      <c r="P14" s="18">
        <f t="shared" ca="1" si="2"/>
        <v>3.469666532781214</v>
      </c>
      <c r="Q14" s="18">
        <f t="shared" ca="1" si="19"/>
        <v>0</v>
      </c>
      <c r="R14" s="18">
        <f t="shared" ca="1" si="20"/>
        <v>5</v>
      </c>
      <c r="S14" s="19">
        <f t="shared" ca="1" si="21"/>
        <v>1.5938339840000003E-2</v>
      </c>
      <c r="T14" s="53" t="str">
        <f t="shared" ca="1" si="3"/>
        <v/>
      </c>
      <c r="U14" s="53">
        <f t="shared" ca="1" si="4"/>
        <v>43707</v>
      </c>
      <c r="V14" s="11" t="str">
        <f t="shared" ca="1" si="28"/>
        <v/>
      </c>
      <c r="W14" s="54">
        <v>0</v>
      </c>
      <c r="X14" s="61">
        <f ca="1">VLOOKUP(IF(V14="",U14,V14),'US CPI'!$A$2:$C$178,3,TRUE)</f>
        <v>1.2659905362530111</v>
      </c>
      <c r="Y14" s="54">
        <f t="shared" ca="1" si="5"/>
        <v>0</v>
      </c>
      <c r="Z14" s="55">
        <f t="shared" ca="1" si="6"/>
        <v>0</v>
      </c>
      <c r="AA14" s="59">
        <f ca="1">(AE14/AB14)+J14</f>
        <v>32.410099007328007</v>
      </c>
      <c r="AB14" s="66">
        <f ca="1">K14* (AI14* (0.8 + RAND() * 0.4 ) / R14)</f>
        <v>8.3760721517110975E-2</v>
      </c>
      <c r="AC14" s="56">
        <f t="shared" ca="1" si="22"/>
        <v>0.10604028075038645</v>
      </c>
      <c r="AD14" s="58">
        <f t="shared" ca="1" si="7"/>
        <v>0.46521651116786211</v>
      </c>
      <c r="AE14" s="57">
        <f t="shared" ca="1" si="23"/>
        <v>0.36747234504989029</v>
      </c>
      <c r="AF14" s="57">
        <f t="shared" ca="1" si="24"/>
        <v>2.0857035271334139</v>
      </c>
      <c r="AG14" s="57">
        <f t="shared" ca="1" si="8"/>
        <v>1.6474874554011527</v>
      </c>
      <c r="AH14" s="57">
        <f t="shared" ca="1" si="9"/>
        <v>2.550920038301276</v>
      </c>
      <c r="AI14" s="57">
        <f ca="1">IF(RAND()&gt;0.45,RAND()*(1-0.4)+0.4*R14,(1+14*RAND())*R14)</f>
        <v>2.0149598004510429</v>
      </c>
      <c r="AJ14" s="60">
        <f ca="1">(Z14+I14)/(1000000*AA14)</f>
        <v>1.3780858858191509E-2</v>
      </c>
      <c r="AK14" s="71">
        <f t="shared" ca="1" si="25"/>
        <v>27767.876614945551</v>
      </c>
      <c r="AL14" s="71">
        <f t="shared" ca="1" si="26"/>
        <v>35153.869006362365</v>
      </c>
      <c r="AM14" s="64">
        <f ca="1">(G14+W14)/SUM($G$5:$G$14,$W$5:$W$14)</f>
        <v>8.1134763212880132E-3</v>
      </c>
      <c r="AN14" s="65">
        <f ca="1">AK14/(G14+W14)</f>
        <v>0.34844126670278791</v>
      </c>
      <c r="AO14" s="65">
        <f ca="1">AK14/(G14+X14)</f>
        <v>0.34843573141689371</v>
      </c>
      <c r="AP14" s="65">
        <f ca="1">I14*AB14/G14</f>
        <v>0.46944418644898123</v>
      </c>
      <c r="AQ14" s="65">
        <f ca="1">H14*AB14/G14</f>
        <v>0.11415717932810909</v>
      </c>
      <c r="AR14" s="105" t="s">
        <v>106</v>
      </c>
    </row>
    <row r="15" spans="1:44" ht="15.75" customHeight="1" x14ac:dyDescent="0.15">
      <c r="A15" s="1"/>
      <c r="B15" s="1"/>
    </row>
    <row r="16" spans="1:44" ht="15.75" customHeight="1" x14ac:dyDescent="0.15">
      <c r="A16" s="1"/>
      <c r="B16" s="1"/>
    </row>
    <row r="17" spans="1:20" ht="15.75" customHeight="1" x14ac:dyDescent="0.15">
      <c r="A17" s="1"/>
      <c r="B17" s="1"/>
    </row>
    <row r="18" spans="1:20" ht="15.75" customHeight="1" x14ac:dyDescent="0.15">
      <c r="A18" s="6" t="s">
        <v>13</v>
      </c>
      <c r="B18" s="4"/>
    </row>
    <row r="19" spans="1:20" ht="15.75" customHeight="1" x14ac:dyDescent="0.15">
      <c r="A19" s="7" t="s">
        <v>22</v>
      </c>
      <c r="B19" s="5"/>
      <c r="T19" s="85"/>
    </row>
    <row r="20" spans="1:20" ht="15.75" customHeight="1" x14ac:dyDescent="0.15">
      <c r="A20" s="7" t="s">
        <v>21</v>
      </c>
      <c r="B20" s="5"/>
      <c r="T20" s="85"/>
    </row>
    <row r="21" spans="1:20" ht="15.75" customHeight="1" x14ac:dyDescent="0.15">
      <c r="A21" s="1"/>
      <c r="B21" s="1"/>
      <c r="T21" s="85"/>
    </row>
    <row r="22" spans="1:20" ht="15.75" customHeight="1" x14ac:dyDescent="0.15">
      <c r="A22" s="1"/>
      <c r="B22" s="1"/>
      <c r="T22" s="85"/>
    </row>
    <row r="23" spans="1:20" ht="15.75" customHeight="1" x14ac:dyDescent="0.15">
      <c r="A23" s="1"/>
      <c r="B23" s="1"/>
      <c r="T23" s="85"/>
    </row>
    <row r="24" spans="1:20" ht="15.75" customHeight="1" x14ac:dyDescent="0.15">
      <c r="A24" s="1"/>
      <c r="B24" s="1"/>
      <c r="K24" s="85"/>
    </row>
    <row r="25" spans="1:20" ht="15.75" customHeight="1" x14ac:dyDescent="0.15">
      <c r="A25" s="1"/>
      <c r="B25" s="1"/>
      <c r="T25" s="85"/>
    </row>
    <row r="26" spans="1:20" ht="15.75" customHeight="1" x14ac:dyDescent="0.15">
      <c r="A26" s="1"/>
      <c r="B26" s="1"/>
    </row>
    <row r="27" spans="1:20" ht="15.75" customHeight="1" x14ac:dyDescent="0.2">
      <c r="A27" s="8"/>
      <c r="B27" s="1"/>
    </row>
    <row r="28" spans="1:20" ht="15.75" customHeight="1" x14ac:dyDescent="0.15">
      <c r="A28"/>
      <c r="B28" s="1"/>
    </row>
    <row r="29" spans="1:20" ht="15.75" customHeight="1" x14ac:dyDescent="0.15">
      <c r="A29" s="9"/>
      <c r="B29" s="1"/>
    </row>
    <row r="30" spans="1:20" ht="15.75" customHeight="1" x14ac:dyDescent="0.15">
      <c r="A30" s="9"/>
      <c r="B30" s="1"/>
    </row>
    <row r="31" spans="1:20" ht="15.75" customHeight="1" x14ac:dyDescent="0.15">
      <c r="A31" s="1"/>
      <c r="B31" s="1"/>
    </row>
    <row r="32" spans="1:20" ht="15.75" customHeight="1" x14ac:dyDescent="0.15">
      <c r="A32" s="1"/>
      <c r="B32" s="1"/>
    </row>
    <row r="33" spans="1:2" ht="15.75" customHeight="1" x14ac:dyDescent="0.15">
      <c r="A33" s="1"/>
      <c r="B33" s="1"/>
    </row>
    <row r="34" spans="1:2" ht="15.75" customHeight="1" x14ac:dyDescent="0.15">
      <c r="A34" s="1"/>
      <c r="B34" s="1"/>
    </row>
    <row r="35" spans="1:2" ht="15.75" customHeight="1" x14ac:dyDescent="0.15">
      <c r="A35" s="1"/>
      <c r="B35" s="1"/>
    </row>
    <row r="36" spans="1:2" ht="15.75" customHeight="1" x14ac:dyDescent="0.15">
      <c r="A36" s="1"/>
      <c r="B36" s="1"/>
    </row>
    <row r="37" spans="1:2" ht="15.75" customHeight="1" x14ac:dyDescent="0.15">
      <c r="A37" s="1"/>
      <c r="B37" s="1"/>
    </row>
    <row r="38" spans="1:2" ht="15.75" customHeight="1" x14ac:dyDescent="0.15">
      <c r="A38" s="1"/>
      <c r="B38" s="1"/>
    </row>
    <row r="39" spans="1:2" ht="15.75" customHeight="1" x14ac:dyDescent="0.15">
      <c r="A39" s="1"/>
      <c r="B39" s="1"/>
    </row>
    <row r="40" spans="1:2" ht="15.75" customHeight="1" x14ac:dyDescent="0.15">
      <c r="A40" s="1"/>
      <c r="B40" s="1"/>
    </row>
    <row r="41" spans="1:2" ht="15.75" customHeight="1" x14ac:dyDescent="0.15">
      <c r="A41" s="1"/>
      <c r="B41" s="1"/>
    </row>
    <row r="42" spans="1:2" ht="15.75" customHeight="1" x14ac:dyDescent="0.15">
      <c r="A42" s="1"/>
      <c r="B42" s="1"/>
    </row>
    <row r="43" spans="1:2" ht="15.75" customHeight="1" x14ac:dyDescent="0.15">
      <c r="A43" s="1"/>
      <c r="B43" s="1"/>
    </row>
    <row r="44" spans="1:2" ht="15.75" customHeight="1" x14ac:dyDescent="0.15">
      <c r="A44" s="1"/>
      <c r="B44" s="1"/>
    </row>
    <row r="45" spans="1:2" ht="15.75" customHeight="1" x14ac:dyDescent="0.15">
      <c r="A45" s="1"/>
      <c r="B45" s="1"/>
    </row>
    <row r="46" spans="1:2" ht="15.75" customHeight="1" x14ac:dyDescent="0.15">
      <c r="A46" s="1"/>
      <c r="B46" s="1"/>
    </row>
    <row r="47" spans="1:2" ht="15.75" customHeight="1" x14ac:dyDescent="0.15">
      <c r="A47" s="1"/>
      <c r="B47" s="1"/>
    </row>
    <row r="48" spans="1:2" ht="15.75" customHeight="1" x14ac:dyDescent="0.15">
      <c r="A48" s="1"/>
      <c r="B48" s="1"/>
    </row>
    <row r="49" spans="1:2" ht="15.75" customHeight="1" x14ac:dyDescent="0.15">
      <c r="A49" s="1"/>
      <c r="B49" s="1"/>
    </row>
    <row r="50" spans="1:2" ht="15.75" customHeight="1" x14ac:dyDescent="0.15">
      <c r="A50" s="1"/>
      <c r="B50" s="1"/>
    </row>
    <row r="51" spans="1:2" ht="15.75" customHeight="1" x14ac:dyDescent="0.15">
      <c r="A51" s="1"/>
      <c r="B51" s="1"/>
    </row>
    <row r="52" spans="1:2" ht="15.75" customHeight="1" x14ac:dyDescent="0.15">
      <c r="A52" s="1"/>
      <c r="B52" s="1"/>
    </row>
    <row r="53" spans="1:2" ht="13" x14ac:dyDescent="0.15">
      <c r="A53" s="1"/>
      <c r="B53" s="1"/>
    </row>
    <row r="54" spans="1:2" ht="13" x14ac:dyDescent="0.15">
      <c r="A54" s="1"/>
      <c r="B54" s="1"/>
    </row>
    <row r="55" spans="1:2" ht="13" x14ac:dyDescent="0.15">
      <c r="A55" s="1"/>
      <c r="B55" s="1"/>
    </row>
    <row r="56" spans="1:2" ht="13" x14ac:dyDescent="0.15">
      <c r="A56" s="1"/>
      <c r="B56" s="1"/>
    </row>
    <row r="57" spans="1:2" ht="13" x14ac:dyDescent="0.15">
      <c r="A57" s="1"/>
      <c r="B57" s="1"/>
    </row>
    <row r="58" spans="1:2" ht="13" x14ac:dyDescent="0.15">
      <c r="A58" s="1"/>
      <c r="B58" s="1"/>
    </row>
    <row r="59" spans="1:2" ht="13" x14ac:dyDescent="0.15">
      <c r="A59" s="1"/>
      <c r="B59" s="1"/>
    </row>
    <row r="60" spans="1:2" ht="13" x14ac:dyDescent="0.15">
      <c r="A60" s="1"/>
      <c r="B60" s="1"/>
    </row>
    <row r="61" spans="1:2" ht="13" x14ac:dyDescent="0.15">
      <c r="A61" s="1"/>
      <c r="B61" s="1"/>
    </row>
    <row r="62" spans="1:2" ht="13" x14ac:dyDescent="0.15">
      <c r="A62" s="1"/>
      <c r="B62" s="1"/>
    </row>
    <row r="63" spans="1:2" ht="13" x14ac:dyDescent="0.15">
      <c r="A63" s="1"/>
      <c r="B63" s="1"/>
    </row>
    <row r="64" spans="1:2" ht="13" x14ac:dyDescent="0.15">
      <c r="A64" s="1"/>
      <c r="B64" s="1"/>
    </row>
    <row r="65" spans="1:2" ht="13" x14ac:dyDescent="0.15">
      <c r="A65" s="1"/>
      <c r="B65" s="1"/>
    </row>
    <row r="66" spans="1:2" ht="13" x14ac:dyDescent="0.15">
      <c r="A66" s="1"/>
      <c r="B66" s="1"/>
    </row>
    <row r="67" spans="1:2" ht="13" x14ac:dyDescent="0.15">
      <c r="A67" s="1"/>
      <c r="B67" s="1"/>
    </row>
    <row r="68" spans="1:2" ht="13" x14ac:dyDescent="0.15">
      <c r="A68" s="1"/>
      <c r="B68" s="1"/>
    </row>
    <row r="69" spans="1:2" ht="13" x14ac:dyDescent="0.15">
      <c r="A69" s="1"/>
      <c r="B69" s="1"/>
    </row>
    <row r="70" spans="1:2" ht="13" x14ac:dyDescent="0.15">
      <c r="A70" s="1"/>
      <c r="B70" s="1"/>
    </row>
    <row r="71" spans="1:2" ht="13" x14ac:dyDescent="0.15">
      <c r="A71" s="1"/>
      <c r="B71" s="1"/>
    </row>
    <row r="72" spans="1:2" ht="13" x14ac:dyDescent="0.15">
      <c r="A72" s="1"/>
      <c r="B72" s="1"/>
    </row>
    <row r="73" spans="1:2" ht="13" x14ac:dyDescent="0.15">
      <c r="A73" s="1"/>
      <c r="B73" s="1"/>
    </row>
    <row r="74" spans="1:2" ht="13" x14ac:dyDescent="0.15">
      <c r="A74" s="1"/>
      <c r="B74" s="1"/>
    </row>
    <row r="75" spans="1:2" ht="13" x14ac:dyDescent="0.15">
      <c r="A75" s="1"/>
      <c r="B75" s="1"/>
    </row>
    <row r="76" spans="1:2" ht="13" x14ac:dyDescent="0.15">
      <c r="A76" s="1"/>
      <c r="B76" s="1"/>
    </row>
    <row r="77" spans="1:2" ht="13" x14ac:dyDescent="0.15">
      <c r="A77" s="1"/>
      <c r="B77" s="1"/>
    </row>
    <row r="78" spans="1:2" ht="13" x14ac:dyDescent="0.15">
      <c r="A78" s="1"/>
      <c r="B78" s="1"/>
    </row>
    <row r="79" spans="1:2" ht="13" x14ac:dyDescent="0.15">
      <c r="A79" s="1"/>
      <c r="B79" s="1"/>
    </row>
    <row r="80" spans="1:2" ht="13" x14ac:dyDescent="0.15">
      <c r="A80" s="1"/>
      <c r="B80" s="1"/>
    </row>
    <row r="81" spans="1:2" ht="13" x14ac:dyDescent="0.15">
      <c r="A81" s="1"/>
      <c r="B81" s="1"/>
    </row>
    <row r="82" spans="1:2" ht="13" x14ac:dyDescent="0.15">
      <c r="A82" s="1"/>
      <c r="B82" s="1"/>
    </row>
    <row r="83" spans="1:2" ht="13" x14ac:dyDescent="0.15">
      <c r="A83" s="1"/>
      <c r="B83" s="1"/>
    </row>
    <row r="84" spans="1:2" ht="13" x14ac:dyDescent="0.15">
      <c r="A84" s="1"/>
      <c r="B84" s="1"/>
    </row>
    <row r="85" spans="1:2" ht="13" x14ac:dyDescent="0.15">
      <c r="A85" s="1"/>
      <c r="B85" s="1"/>
    </row>
    <row r="86" spans="1:2" ht="13" x14ac:dyDescent="0.15">
      <c r="A86" s="1"/>
      <c r="B86" s="1"/>
    </row>
    <row r="87" spans="1:2" ht="13" x14ac:dyDescent="0.15">
      <c r="A87" s="1"/>
      <c r="B87" s="1"/>
    </row>
    <row r="88" spans="1:2" ht="13" x14ac:dyDescent="0.15">
      <c r="A88" s="1"/>
      <c r="B88" s="1"/>
    </row>
    <row r="89" spans="1:2" ht="13" x14ac:dyDescent="0.15">
      <c r="A89" s="1"/>
      <c r="B89" s="1"/>
    </row>
    <row r="90" spans="1:2" ht="13" x14ac:dyDescent="0.15">
      <c r="A90" s="1"/>
      <c r="B90" s="1"/>
    </row>
    <row r="91" spans="1:2" ht="13" x14ac:dyDescent="0.15">
      <c r="A91" s="1"/>
      <c r="B91" s="1"/>
    </row>
    <row r="92" spans="1:2" ht="13" x14ac:dyDescent="0.15">
      <c r="A92" s="1"/>
      <c r="B92" s="1"/>
    </row>
    <row r="93" spans="1:2" ht="13" x14ac:dyDescent="0.15">
      <c r="A93" s="1"/>
      <c r="B93" s="1"/>
    </row>
    <row r="94" spans="1:2" ht="13" x14ac:dyDescent="0.15">
      <c r="A94" s="1"/>
      <c r="B94" s="1"/>
    </row>
    <row r="95" spans="1:2" ht="13" x14ac:dyDescent="0.15">
      <c r="A95" s="1"/>
      <c r="B95" s="1"/>
    </row>
    <row r="96" spans="1:2" ht="13" x14ac:dyDescent="0.15">
      <c r="A96" s="1"/>
      <c r="B96" s="1"/>
    </row>
    <row r="97" spans="1:2" ht="13" x14ac:dyDescent="0.15">
      <c r="A97" s="1"/>
      <c r="B97" s="1"/>
    </row>
    <row r="98" spans="1:2" ht="13" x14ac:dyDescent="0.15">
      <c r="A98" s="1"/>
      <c r="B98" s="1"/>
    </row>
    <row r="99" spans="1:2" ht="13" x14ac:dyDescent="0.15">
      <c r="A99" s="1"/>
      <c r="B99" s="1"/>
    </row>
    <row r="100" spans="1:2" ht="13" x14ac:dyDescent="0.15">
      <c r="A100" s="1"/>
      <c r="B100" s="1"/>
    </row>
    <row r="101" spans="1:2" ht="13" x14ac:dyDescent="0.15">
      <c r="A101" s="1"/>
      <c r="B101" s="1"/>
    </row>
    <row r="102" spans="1:2" ht="13" x14ac:dyDescent="0.15">
      <c r="A102" s="1"/>
      <c r="B102" s="1"/>
    </row>
    <row r="103" spans="1:2" ht="13" x14ac:dyDescent="0.15">
      <c r="A103" s="1"/>
      <c r="B103" s="1"/>
    </row>
    <row r="104" spans="1:2" ht="13" x14ac:dyDescent="0.15">
      <c r="A104" s="1"/>
      <c r="B104" s="1"/>
    </row>
    <row r="105" spans="1:2" ht="13" x14ac:dyDescent="0.15">
      <c r="A105" s="1"/>
      <c r="B105" s="1"/>
    </row>
    <row r="106" spans="1:2" ht="13" x14ac:dyDescent="0.15">
      <c r="A106" s="1"/>
      <c r="B106" s="1"/>
    </row>
    <row r="107" spans="1:2" ht="13" x14ac:dyDescent="0.15">
      <c r="A107" s="1"/>
      <c r="B107" s="1"/>
    </row>
    <row r="108" spans="1:2" ht="13" x14ac:dyDescent="0.15">
      <c r="A108" s="1"/>
      <c r="B108" s="1"/>
    </row>
    <row r="109" spans="1:2" ht="13" x14ac:dyDescent="0.15">
      <c r="A109" s="1"/>
      <c r="B109" s="1"/>
    </row>
    <row r="110" spans="1:2" ht="13" x14ac:dyDescent="0.15">
      <c r="A110" s="1"/>
      <c r="B110" s="1"/>
    </row>
    <row r="111" spans="1:2" ht="13" x14ac:dyDescent="0.15">
      <c r="A111" s="1"/>
      <c r="B111" s="1"/>
    </row>
    <row r="112" spans="1:2" ht="13" x14ac:dyDescent="0.15">
      <c r="A112" s="1"/>
      <c r="B112" s="1"/>
    </row>
    <row r="113" spans="1:2" ht="13" x14ac:dyDescent="0.15">
      <c r="A113" s="1"/>
      <c r="B113" s="1"/>
    </row>
    <row r="114" spans="1:2" ht="13" x14ac:dyDescent="0.15">
      <c r="A114" s="1"/>
      <c r="B114" s="1"/>
    </row>
    <row r="115" spans="1:2" ht="13" x14ac:dyDescent="0.15">
      <c r="A115" s="1"/>
      <c r="B115" s="1"/>
    </row>
    <row r="116" spans="1:2" ht="13" x14ac:dyDescent="0.15">
      <c r="A116" s="1"/>
      <c r="B116" s="1"/>
    </row>
    <row r="117" spans="1:2" ht="13" x14ac:dyDescent="0.15">
      <c r="A117" s="1"/>
      <c r="B117" s="1"/>
    </row>
    <row r="118" spans="1:2" ht="13" x14ac:dyDescent="0.15">
      <c r="A118" s="1"/>
      <c r="B118" s="1"/>
    </row>
    <row r="119" spans="1:2" ht="13" x14ac:dyDescent="0.15">
      <c r="A119" s="1"/>
      <c r="B119" s="1"/>
    </row>
    <row r="120" spans="1:2" ht="13" x14ac:dyDescent="0.15">
      <c r="A120" s="1"/>
      <c r="B120" s="1"/>
    </row>
    <row r="121" spans="1:2" ht="13" x14ac:dyDescent="0.15">
      <c r="A121" s="1"/>
      <c r="B121" s="1"/>
    </row>
    <row r="122" spans="1:2" ht="13" x14ac:dyDescent="0.15">
      <c r="A122" s="1"/>
      <c r="B122" s="1"/>
    </row>
    <row r="123" spans="1:2" ht="13" x14ac:dyDescent="0.15">
      <c r="A123" s="1"/>
      <c r="B123" s="1"/>
    </row>
    <row r="124" spans="1:2" ht="13" x14ac:dyDescent="0.15">
      <c r="A124" s="1"/>
      <c r="B124" s="1"/>
    </row>
    <row r="125" spans="1:2" ht="13" x14ac:dyDescent="0.15">
      <c r="A125" s="1"/>
      <c r="B125" s="1"/>
    </row>
    <row r="126" spans="1:2" ht="13" x14ac:dyDescent="0.15">
      <c r="A126" s="1"/>
      <c r="B126" s="1"/>
    </row>
    <row r="127" spans="1:2" ht="13" x14ac:dyDescent="0.15">
      <c r="A127" s="1"/>
      <c r="B127" s="1"/>
    </row>
    <row r="128" spans="1:2" ht="13" x14ac:dyDescent="0.15">
      <c r="A128" s="1"/>
      <c r="B128" s="1"/>
    </row>
    <row r="129" spans="1:2" ht="13" x14ac:dyDescent="0.15">
      <c r="A129" s="1"/>
      <c r="B129" s="1"/>
    </row>
    <row r="130" spans="1:2" ht="13" x14ac:dyDescent="0.15">
      <c r="A130" s="1"/>
      <c r="B130" s="1"/>
    </row>
    <row r="131" spans="1:2" ht="13" x14ac:dyDescent="0.15">
      <c r="A131" s="1"/>
      <c r="B131" s="1"/>
    </row>
    <row r="132" spans="1:2" ht="13" x14ac:dyDescent="0.15">
      <c r="A132" s="1"/>
      <c r="B132" s="1"/>
    </row>
    <row r="133" spans="1:2" ht="13" x14ac:dyDescent="0.15">
      <c r="A133" s="1"/>
      <c r="B133" s="1"/>
    </row>
    <row r="134" spans="1:2" ht="13" x14ac:dyDescent="0.15">
      <c r="A134" s="1"/>
      <c r="B134" s="1"/>
    </row>
    <row r="135" spans="1:2" ht="13" x14ac:dyDescent="0.15">
      <c r="A135" s="1"/>
      <c r="B135" s="1"/>
    </row>
    <row r="136" spans="1:2" ht="13" x14ac:dyDescent="0.15">
      <c r="A136" s="1"/>
      <c r="B136" s="1"/>
    </row>
    <row r="137" spans="1:2" ht="13" x14ac:dyDescent="0.15">
      <c r="A137" s="1"/>
      <c r="B137" s="1"/>
    </row>
    <row r="138" spans="1:2" ht="13" x14ac:dyDescent="0.15">
      <c r="A138" s="1"/>
      <c r="B138" s="1"/>
    </row>
    <row r="139" spans="1:2" ht="13" x14ac:dyDescent="0.15">
      <c r="A139" s="1"/>
      <c r="B139" s="1"/>
    </row>
    <row r="140" spans="1:2" ht="13" x14ac:dyDescent="0.15">
      <c r="A140" s="1"/>
      <c r="B140" s="1"/>
    </row>
    <row r="141" spans="1:2" ht="13" x14ac:dyDescent="0.15">
      <c r="A141" s="1"/>
      <c r="B141" s="1"/>
    </row>
    <row r="142" spans="1:2" ht="13" x14ac:dyDescent="0.15">
      <c r="A142" s="1"/>
      <c r="B142" s="1"/>
    </row>
    <row r="143" spans="1:2" ht="13" x14ac:dyDescent="0.15">
      <c r="A143" s="1"/>
      <c r="B143" s="1"/>
    </row>
    <row r="144" spans="1:2" ht="13" x14ac:dyDescent="0.15">
      <c r="A144" s="1"/>
      <c r="B144" s="1"/>
    </row>
    <row r="145" spans="1:2" ht="13" x14ac:dyDescent="0.15">
      <c r="A145" s="1"/>
      <c r="B145" s="1"/>
    </row>
    <row r="146" spans="1:2" ht="13" x14ac:dyDescent="0.15">
      <c r="A146" s="1"/>
      <c r="B146" s="1"/>
    </row>
    <row r="147" spans="1:2" ht="13" x14ac:dyDescent="0.15">
      <c r="A147" s="1"/>
      <c r="B147" s="1"/>
    </row>
    <row r="148" spans="1:2" ht="13" x14ac:dyDescent="0.15">
      <c r="A148" s="1"/>
      <c r="B148" s="1"/>
    </row>
    <row r="149" spans="1:2" ht="13" x14ac:dyDescent="0.15">
      <c r="A149" s="1"/>
      <c r="B149" s="1"/>
    </row>
    <row r="150" spans="1:2" ht="13" x14ac:dyDescent="0.15">
      <c r="A150" s="1"/>
      <c r="B150" s="1"/>
    </row>
    <row r="151" spans="1:2" ht="13" x14ac:dyDescent="0.15">
      <c r="A151" s="1"/>
      <c r="B151" s="1"/>
    </row>
    <row r="152" spans="1:2" ht="13" x14ac:dyDescent="0.15">
      <c r="A152" s="1"/>
      <c r="B152" s="1"/>
    </row>
    <row r="153" spans="1:2" ht="13" x14ac:dyDescent="0.15">
      <c r="A153" s="1"/>
      <c r="B153" s="1"/>
    </row>
    <row r="154" spans="1:2" ht="13" x14ac:dyDescent="0.15">
      <c r="A154" s="1"/>
      <c r="B154" s="1"/>
    </row>
    <row r="155" spans="1:2" ht="13" x14ac:dyDescent="0.15">
      <c r="A155" s="1"/>
      <c r="B155" s="1"/>
    </row>
    <row r="156" spans="1:2" ht="13" x14ac:dyDescent="0.15">
      <c r="A156" s="1"/>
      <c r="B156" s="1"/>
    </row>
    <row r="157" spans="1:2" ht="13" x14ac:dyDescent="0.15">
      <c r="A157" s="1"/>
      <c r="B157" s="1"/>
    </row>
    <row r="158" spans="1:2" ht="13" x14ac:dyDescent="0.15">
      <c r="A158" s="1"/>
      <c r="B158" s="1"/>
    </row>
    <row r="159" spans="1:2" ht="13" x14ac:dyDescent="0.15">
      <c r="A159" s="1"/>
      <c r="B159" s="1"/>
    </row>
    <row r="160" spans="1:2" ht="13" x14ac:dyDescent="0.15">
      <c r="A160" s="1"/>
      <c r="B160" s="1"/>
    </row>
    <row r="161" spans="1:2" ht="13" x14ac:dyDescent="0.15">
      <c r="A161" s="1"/>
      <c r="B161" s="1"/>
    </row>
    <row r="162" spans="1:2" ht="13" x14ac:dyDescent="0.15">
      <c r="A162" s="1"/>
      <c r="B162" s="1"/>
    </row>
    <row r="163" spans="1:2" ht="13" x14ac:dyDescent="0.15">
      <c r="A163" s="1"/>
      <c r="B163" s="1"/>
    </row>
    <row r="164" spans="1:2" ht="13" x14ac:dyDescent="0.15">
      <c r="A164" s="1"/>
      <c r="B164" s="1"/>
    </row>
    <row r="165" spans="1:2" ht="13" x14ac:dyDescent="0.15">
      <c r="A165" s="1"/>
      <c r="B165" s="1"/>
    </row>
    <row r="166" spans="1:2" ht="13" x14ac:dyDescent="0.15">
      <c r="A166" s="1"/>
      <c r="B166" s="1"/>
    </row>
    <row r="167" spans="1:2" ht="13" x14ac:dyDescent="0.15">
      <c r="A167" s="1"/>
      <c r="B167" s="1"/>
    </row>
    <row r="168" spans="1:2" ht="13" x14ac:dyDescent="0.15">
      <c r="A168" s="1"/>
      <c r="B168" s="1"/>
    </row>
    <row r="169" spans="1:2" ht="13" x14ac:dyDescent="0.15">
      <c r="A169" s="1"/>
      <c r="B169" s="1"/>
    </row>
    <row r="170" spans="1:2" ht="13" x14ac:dyDescent="0.15">
      <c r="A170" s="1"/>
      <c r="B170" s="1"/>
    </row>
    <row r="171" spans="1:2" ht="13" x14ac:dyDescent="0.15">
      <c r="A171" s="1"/>
      <c r="B171" s="1"/>
    </row>
    <row r="172" spans="1:2" ht="13" x14ac:dyDescent="0.15">
      <c r="A172" s="1"/>
      <c r="B172" s="1"/>
    </row>
    <row r="173" spans="1:2" ht="13" x14ac:dyDescent="0.15">
      <c r="A173" s="1"/>
      <c r="B173" s="1"/>
    </row>
    <row r="174" spans="1:2" ht="13" x14ac:dyDescent="0.15">
      <c r="A174" s="1"/>
      <c r="B174" s="1"/>
    </row>
    <row r="175" spans="1:2" ht="13" x14ac:dyDescent="0.15">
      <c r="A175" s="1"/>
      <c r="B175" s="1"/>
    </row>
    <row r="176" spans="1:2" ht="13" x14ac:dyDescent="0.15">
      <c r="A176" s="1"/>
      <c r="B176" s="1"/>
    </row>
    <row r="177" spans="1:2" ht="13" x14ac:dyDescent="0.15">
      <c r="A177" s="1"/>
      <c r="B177" s="1"/>
    </row>
    <row r="178" spans="1:2" ht="13" x14ac:dyDescent="0.15">
      <c r="A178" s="1"/>
      <c r="B178" s="1"/>
    </row>
    <row r="179" spans="1:2" ht="13" x14ac:dyDescent="0.15">
      <c r="A179" s="1"/>
      <c r="B179" s="1"/>
    </row>
    <row r="180" spans="1:2" ht="13" x14ac:dyDescent="0.15">
      <c r="A180" s="1"/>
      <c r="B180" s="1"/>
    </row>
    <row r="181" spans="1:2" ht="13" x14ac:dyDescent="0.15">
      <c r="A181" s="1"/>
      <c r="B181" s="1"/>
    </row>
    <row r="182" spans="1:2" ht="13" x14ac:dyDescent="0.15">
      <c r="A182" s="1"/>
      <c r="B182" s="1"/>
    </row>
    <row r="183" spans="1:2" ht="13" x14ac:dyDescent="0.15">
      <c r="A183" s="1"/>
      <c r="B183" s="1"/>
    </row>
    <row r="184" spans="1:2" ht="13" x14ac:dyDescent="0.15">
      <c r="A184" s="1"/>
      <c r="B184" s="1"/>
    </row>
    <row r="185" spans="1:2" ht="13" x14ac:dyDescent="0.15">
      <c r="A185" s="1"/>
      <c r="B185" s="1"/>
    </row>
    <row r="186" spans="1:2" ht="13" x14ac:dyDescent="0.15">
      <c r="A186" s="1"/>
      <c r="B186" s="1"/>
    </row>
    <row r="187" spans="1:2" ht="13" x14ac:dyDescent="0.15">
      <c r="A187" s="1"/>
      <c r="B187" s="1"/>
    </row>
    <row r="188" spans="1:2" ht="13" x14ac:dyDescent="0.15">
      <c r="A188" s="1"/>
      <c r="B188" s="1"/>
    </row>
    <row r="189" spans="1:2" ht="13" x14ac:dyDescent="0.15">
      <c r="A189" s="1"/>
      <c r="B189" s="1"/>
    </row>
    <row r="190" spans="1:2" ht="13" x14ac:dyDescent="0.15">
      <c r="A190" s="1"/>
      <c r="B190" s="1"/>
    </row>
    <row r="191" spans="1:2" ht="13" x14ac:dyDescent="0.15">
      <c r="A191" s="1"/>
      <c r="B191" s="1"/>
    </row>
    <row r="192" spans="1:2" ht="13" x14ac:dyDescent="0.15">
      <c r="A192" s="1"/>
      <c r="B192" s="1"/>
    </row>
    <row r="193" spans="1:2" ht="13" x14ac:dyDescent="0.15">
      <c r="A193" s="1"/>
      <c r="B193" s="1"/>
    </row>
    <row r="194" spans="1:2" ht="13" x14ac:dyDescent="0.15">
      <c r="A194" s="1"/>
      <c r="B194" s="1"/>
    </row>
    <row r="195" spans="1:2" ht="13" x14ac:dyDescent="0.15">
      <c r="A195" s="1"/>
      <c r="B195" s="1"/>
    </row>
    <row r="196" spans="1:2" ht="13" x14ac:dyDescent="0.15">
      <c r="A196" s="1"/>
      <c r="B196" s="1"/>
    </row>
    <row r="197" spans="1:2" ht="13" x14ac:dyDescent="0.15">
      <c r="A197" s="1"/>
      <c r="B197" s="1"/>
    </row>
    <row r="198" spans="1:2" ht="13" x14ac:dyDescent="0.15">
      <c r="A198" s="1"/>
      <c r="B198" s="1"/>
    </row>
    <row r="199" spans="1:2" ht="13" x14ac:dyDescent="0.15">
      <c r="A199" s="1"/>
      <c r="B199" s="1"/>
    </row>
    <row r="200" spans="1:2" ht="13" x14ac:dyDescent="0.15">
      <c r="A200" s="1"/>
      <c r="B200" s="1"/>
    </row>
    <row r="201" spans="1:2" ht="13" x14ac:dyDescent="0.15">
      <c r="A201" s="1"/>
      <c r="B201" s="1"/>
    </row>
    <row r="202" spans="1:2" ht="13" x14ac:dyDescent="0.15">
      <c r="A202" s="1"/>
      <c r="B202" s="1"/>
    </row>
    <row r="203" spans="1:2" ht="13" x14ac:dyDescent="0.15">
      <c r="A203" s="1"/>
      <c r="B203" s="1"/>
    </row>
    <row r="204" spans="1:2" ht="13" x14ac:dyDescent="0.15">
      <c r="A204" s="1"/>
      <c r="B204" s="1"/>
    </row>
    <row r="205" spans="1:2" ht="13" x14ac:dyDescent="0.15">
      <c r="A205" s="1"/>
      <c r="B205" s="1"/>
    </row>
    <row r="206" spans="1:2" ht="13" x14ac:dyDescent="0.15">
      <c r="A206" s="1"/>
      <c r="B206" s="1"/>
    </row>
    <row r="207" spans="1:2" ht="13" x14ac:dyDescent="0.15">
      <c r="A207" s="1"/>
      <c r="B207" s="1"/>
    </row>
    <row r="208" spans="1:2" ht="13" x14ac:dyDescent="0.15">
      <c r="A208" s="1"/>
      <c r="B208" s="1"/>
    </row>
    <row r="209" spans="1:2" ht="13" x14ac:dyDescent="0.15">
      <c r="A209" s="1"/>
      <c r="B209" s="1"/>
    </row>
    <row r="210" spans="1:2" ht="13" x14ac:dyDescent="0.15">
      <c r="A210" s="1"/>
      <c r="B210" s="1"/>
    </row>
    <row r="211" spans="1:2" ht="13" x14ac:dyDescent="0.15">
      <c r="A211" s="1"/>
      <c r="B211" s="1"/>
    </row>
    <row r="212" spans="1:2" ht="13" x14ac:dyDescent="0.15">
      <c r="A212" s="1"/>
      <c r="B212" s="1"/>
    </row>
    <row r="213" spans="1:2" ht="13" x14ac:dyDescent="0.15">
      <c r="A213" s="1"/>
      <c r="B213" s="1"/>
    </row>
    <row r="214" spans="1:2" ht="13" x14ac:dyDescent="0.15">
      <c r="A214" s="1"/>
      <c r="B214" s="1"/>
    </row>
    <row r="215" spans="1:2" ht="13" x14ac:dyDescent="0.15">
      <c r="A215" s="1"/>
      <c r="B215" s="1"/>
    </row>
    <row r="216" spans="1:2" ht="13" x14ac:dyDescent="0.15">
      <c r="A216" s="1"/>
      <c r="B216" s="1"/>
    </row>
    <row r="217" spans="1:2" ht="13" x14ac:dyDescent="0.15">
      <c r="A217" s="1"/>
      <c r="B217" s="1"/>
    </row>
    <row r="218" spans="1:2" ht="13" x14ac:dyDescent="0.15">
      <c r="A218" s="1"/>
      <c r="B218" s="1"/>
    </row>
    <row r="219" spans="1:2" ht="13" x14ac:dyDescent="0.15">
      <c r="A219" s="1"/>
      <c r="B219" s="1"/>
    </row>
    <row r="220" spans="1:2" ht="13" x14ac:dyDescent="0.15">
      <c r="A220" s="1"/>
      <c r="B220" s="1"/>
    </row>
    <row r="221" spans="1:2" ht="13" x14ac:dyDescent="0.15">
      <c r="A221" s="1"/>
      <c r="B221" s="1"/>
    </row>
    <row r="222" spans="1:2" ht="13" x14ac:dyDescent="0.15">
      <c r="A222" s="1"/>
      <c r="B222" s="1"/>
    </row>
    <row r="223" spans="1:2" ht="13" x14ac:dyDescent="0.15">
      <c r="A223" s="1"/>
      <c r="B223" s="1"/>
    </row>
    <row r="224" spans="1:2" ht="13" x14ac:dyDescent="0.15">
      <c r="A224" s="1"/>
      <c r="B224" s="1"/>
    </row>
    <row r="225" spans="1:2" ht="13" x14ac:dyDescent="0.15">
      <c r="A225" s="1"/>
      <c r="B225" s="1"/>
    </row>
    <row r="226" spans="1:2" ht="13" x14ac:dyDescent="0.15">
      <c r="A226" s="1"/>
      <c r="B226" s="1"/>
    </row>
    <row r="227" spans="1:2" ht="13" x14ac:dyDescent="0.15">
      <c r="A227" s="1"/>
      <c r="B227" s="1"/>
    </row>
    <row r="228" spans="1:2" ht="13" x14ac:dyDescent="0.15">
      <c r="A228" s="1"/>
      <c r="B228" s="1"/>
    </row>
    <row r="229" spans="1:2" ht="13" x14ac:dyDescent="0.15">
      <c r="A229" s="1"/>
      <c r="B229" s="1"/>
    </row>
    <row r="230" spans="1:2" ht="13" x14ac:dyDescent="0.15">
      <c r="A230" s="1"/>
      <c r="B230" s="1"/>
    </row>
    <row r="231" spans="1:2" ht="13" x14ac:dyDescent="0.15">
      <c r="A231" s="1"/>
      <c r="B231" s="1"/>
    </row>
    <row r="232" spans="1:2" ht="13" x14ac:dyDescent="0.15">
      <c r="A232" s="1"/>
      <c r="B232" s="1"/>
    </row>
    <row r="233" spans="1:2" ht="13" x14ac:dyDescent="0.15">
      <c r="A233" s="1"/>
      <c r="B233" s="1"/>
    </row>
    <row r="234" spans="1:2" ht="13" x14ac:dyDescent="0.15">
      <c r="A234" s="1"/>
      <c r="B234" s="1"/>
    </row>
    <row r="235" spans="1:2" ht="13" x14ac:dyDescent="0.15">
      <c r="A235" s="1"/>
      <c r="B235" s="1"/>
    </row>
    <row r="236" spans="1:2" ht="13" x14ac:dyDescent="0.15">
      <c r="A236" s="1"/>
      <c r="B236" s="1"/>
    </row>
    <row r="237" spans="1:2" ht="13" x14ac:dyDescent="0.15">
      <c r="A237" s="1"/>
      <c r="B237" s="1"/>
    </row>
    <row r="238" spans="1:2" ht="13" x14ac:dyDescent="0.15">
      <c r="A238" s="1"/>
      <c r="B238" s="1"/>
    </row>
    <row r="239" spans="1:2" ht="13" x14ac:dyDescent="0.15">
      <c r="A239" s="1"/>
      <c r="B239" s="1"/>
    </row>
    <row r="240" spans="1:2" ht="13" x14ac:dyDescent="0.15">
      <c r="A240" s="1"/>
      <c r="B240" s="1"/>
    </row>
    <row r="241" spans="1:2" ht="13" x14ac:dyDescent="0.15">
      <c r="A241" s="1"/>
      <c r="B241" s="1"/>
    </row>
    <row r="242" spans="1:2" ht="13" x14ac:dyDescent="0.15">
      <c r="A242" s="1"/>
      <c r="B242" s="1"/>
    </row>
    <row r="243" spans="1:2" ht="13" x14ac:dyDescent="0.15">
      <c r="A243" s="1"/>
      <c r="B243" s="1"/>
    </row>
    <row r="244" spans="1:2" ht="13" x14ac:dyDescent="0.15">
      <c r="A244" s="1"/>
      <c r="B244" s="1"/>
    </row>
    <row r="245" spans="1:2" ht="13" x14ac:dyDescent="0.15">
      <c r="A245" s="1"/>
      <c r="B245" s="1"/>
    </row>
    <row r="246" spans="1:2" ht="13" x14ac:dyDescent="0.15">
      <c r="A246" s="1"/>
      <c r="B246" s="1"/>
    </row>
    <row r="247" spans="1:2" ht="13" x14ac:dyDescent="0.15">
      <c r="A247" s="1"/>
      <c r="B247" s="1"/>
    </row>
    <row r="248" spans="1:2" ht="13" x14ac:dyDescent="0.15">
      <c r="A248" s="1"/>
      <c r="B248" s="1"/>
    </row>
    <row r="249" spans="1:2" ht="13" x14ac:dyDescent="0.15">
      <c r="A249" s="1"/>
      <c r="B249" s="1"/>
    </row>
    <row r="250" spans="1:2" ht="13" x14ac:dyDescent="0.15">
      <c r="A250" s="1"/>
      <c r="B250" s="1"/>
    </row>
    <row r="251" spans="1:2" ht="13" x14ac:dyDescent="0.15">
      <c r="A251" s="1"/>
      <c r="B251" s="1"/>
    </row>
    <row r="252" spans="1:2" ht="13" x14ac:dyDescent="0.15">
      <c r="A252" s="1"/>
      <c r="B252" s="1"/>
    </row>
    <row r="253" spans="1:2" ht="13" x14ac:dyDescent="0.15">
      <c r="A253" s="1"/>
      <c r="B253" s="1"/>
    </row>
    <row r="254" spans="1:2" ht="13" x14ac:dyDescent="0.15">
      <c r="A254" s="1"/>
      <c r="B254" s="1"/>
    </row>
    <row r="255" spans="1:2" ht="13" x14ac:dyDescent="0.15">
      <c r="A255" s="1"/>
      <c r="B255" s="1"/>
    </row>
    <row r="256" spans="1:2" ht="13" x14ac:dyDescent="0.15">
      <c r="A256" s="1"/>
      <c r="B256" s="1"/>
    </row>
    <row r="257" spans="1:2" ht="13" x14ac:dyDescent="0.15">
      <c r="A257" s="1"/>
      <c r="B257" s="1"/>
    </row>
    <row r="258" spans="1:2" ht="13" x14ac:dyDescent="0.15">
      <c r="A258" s="1"/>
      <c r="B258" s="1"/>
    </row>
    <row r="259" spans="1:2" ht="13" x14ac:dyDescent="0.15">
      <c r="A259" s="1"/>
      <c r="B259" s="1"/>
    </row>
    <row r="260" spans="1:2" ht="13" x14ac:dyDescent="0.15">
      <c r="A260" s="1"/>
      <c r="B260" s="1"/>
    </row>
    <row r="261" spans="1:2" ht="13" x14ac:dyDescent="0.15">
      <c r="A261" s="1"/>
      <c r="B261" s="1"/>
    </row>
    <row r="262" spans="1:2" ht="13" x14ac:dyDescent="0.15">
      <c r="A262" s="1"/>
      <c r="B262" s="1"/>
    </row>
    <row r="263" spans="1:2" ht="13" x14ac:dyDescent="0.15">
      <c r="A263" s="1"/>
      <c r="B263" s="1"/>
    </row>
    <row r="264" spans="1:2" ht="13" x14ac:dyDescent="0.15">
      <c r="A264" s="1"/>
      <c r="B264" s="1"/>
    </row>
    <row r="265" spans="1:2" ht="13" x14ac:dyDescent="0.15">
      <c r="A265" s="1"/>
      <c r="B265" s="1"/>
    </row>
    <row r="266" spans="1:2" ht="13" x14ac:dyDescent="0.15">
      <c r="A266" s="1"/>
      <c r="B266" s="1"/>
    </row>
    <row r="267" spans="1:2" ht="13" x14ac:dyDescent="0.15">
      <c r="A267" s="1"/>
      <c r="B267" s="1"/>
    </row>
    <row r="268" spans="1:2" ht="13" x14ac:dyDescent="0.15">
      <c r="A268" s="1"/>
      <c r="B268" s="1"/>
    </row>
    <row r="269" spans="1:2" ht="13" x14ac:dyDescent="0.15">
      <c r="A269" s="1"/>
      <c r="B269" s="1"/>
    </row>
    <row r="270" spans="1:2" ht="13" x14ac:dyDescent="0.15">
      <c r="A270" s="1"/>
      <c r="B270" s="1"/>
    </row>
    <row r="271" spans="1:2" ht="13" x14ac:dyDescent="0.15">
      <c r="A271" s="1"/>
      <c r="B271" s="1"/>
    </row>
    <row r="272" spans="1:2" ht="13" x14ac:dyDescent="0.15">
      <c r="A272" s="1"/>
      <c r="B272" s="1"/>
    </row>
    <row r="273" spans="1:2" ht="13" x14ac:dyDescent="0.15">
      <c r="A273" s="1"/>
      <c r="B273" s="1"/>
    </row>
    <row r="274" spans="1:2" ht="13" x14ac:dyDescent="0.15">
      <c r="A274" s="1"/>
      <c r="B274" s="1"/>
    </row>
    <row r="275" spans="1:2" ht="13" x14ac:dyDescent="0.15">
      <c r="A275" s="1"/>
      <c r="B275" s="1"/>
    </row>
    <row r="276" spans="1:2" ht="13" x14ac:dyDescent="0.15">
      <c r="A276" s="1"/>
      <c r="B276" s="1"/>
    </row>
    <row r="277" spans="1:2" ht="13" x14ac:dyDescent="0.15">
      <c r="A277" s="1"/>
      <c r="B277" s="1"/>
    </row>
    <row r="278" spans="1:2" ht="13" x14ac:dyDescent="0.15">
      <c r="A278" s="1"/>
      <c r="B278" s="1"/>
    </row>
    <row r="279" spans="1:2" ht="13" x14ac:dyDescent="0.15">
      <c r="A279" s="1"/>
      <c r="B279" s="1"/>
    </row>
    <row r="280" spans="1:2" ht="13" x14ac:dyDescent="0.15">
      <c r="A280" s="1"/>
      <c r="B280" s="1"/>
    </row>
    <row r="281" spans="1:2" ht="13" x14ac:dyDescent="0.15">
      <c r="A281" s="1"/>
      <c r="B281" s="1"/>
    </row>
    <row r="282" spans="1:2" ht="13" x14ac:dyDescent="0.15">
      <c r="A282" s="1"/>
      <c r="B282" s="1"/>
    </row>
    <row r="283" spans="1:2" ht="13" x14ac:dyDescent="0.15">
      <c r="A283" s="1"/>
      <c r="B283" s="1"/>
    </row>
    <row r="284" spans="1:2" ht="13" x14ac:dyDescent="0.15">
      <c r="A284" s="1"/>
      <c r="B284" s="1"/>
    </row>
    <row r="285" spans="1:2" ht="13" x14ac:dyDescent="0.15">
      <c r="A285" s="1"/>
      <c r="B285" s="1"/>
    </row>
    <row r="286" spans="1:2" ht="13" x14ac:dyDescent="0.15">
      <c r="A286" s="1"/>
      <c r="B286" s="1"/>
    </row>
    <row r="287" spans="1:2" ht="13" x14ac:dyDescent="0.15">
      <c r="A287" s="1"/>
      <c r="B287" s="1"/>
    </row>
    <row r="288" spans="1:2" ht="13" x14ac:dyDescent="0.15">
      <c r="A288" s="1"/>
      <c r="B288" s="1"/>
    </row>
    <row r="289" spans="1:2" ht="13" x14ac:dyDescent="0.15">
      <c r="A289" s="1"/>
      <c r="B289" s="1"/>
    </row>
    <row r="290" spans="1:2" ht="13" x14ac:dyDescent="0.15">
      <c r="A290" s="1"/>
      <c r="B290" s="1"/>
    </row>
    <row r="291" spans="1:2" ht="13" x14ac:dyDescent="0.15">
      <c r="A291" s="1"/>
      <c r="B291" s="1"/>
    </row>
    <row r="292" spans="1:2" ht="13" x14ac:dyDescent="0.15">
      <c r="A292" s="1"/>
      <c r="B292" s="1"/>
    </row>
    <row r="293" spans="1:2" ht="13" x14ac:dyDescent="0.15">
      <c r="A293" s="1"/>
      <c r="B293" s="1"/>
    </row>
    <row r="294" spans="1:2" ht="13" x14ac:dyDescent="0.15">
      <c r="A294" s="1"/>
      <c r="B294" s="1"/>
    </row>
    <row r="295" spans="1:2" ht="13" x14ac:dyDescent="0.15">
      <c r="A295" s="1"/>
      <c r="B295" s="1"/>
    </row>
    <row r="296" spans="1:2" ht="13" x14ac:dyDescent="0.15">
      <c r="A296" s="1"/>
      <c r="B296" s="1"/>
    </row>
    <row r="297" spans="1:2" ht="13" x14ac:dyDescent="0.15">
      <c r="A297" s="1"/>
      <c r="B297" s="1"/>
    </row>
    <row r="298" spans="1:2" ht="13" x14ac:dyDescent="0.15">
      <c r="A298" s="1"/>
      <c r="B298" s="1"/>
    </row>
    <row r="299" spans="1:2" ht="13" x14ac:dyDescent="0.15">
      <c r="A299" s="1"/>
      <c r="B299" s="1"/>
    </row>
    <row r="300" spans="1:2" ht="13" x14ac:dyDescent="0.15">
      <c r="A300" s="1"/>
      <c r="B300" s="1"/>
    </row>
    <row r="301" spans="1:2" ht="13" x14ac:dyDescent="0.15">
      <c r="A301" s="1"/>
      <c r="B301" s="1"/>
    </row>
    <row r="302" spans="1:2" ht="13" x14ac:dyDescent="0.15">
      <c r="A302" s="1"/>
      <c r="B302" s="1"/>
    </row>
    <row r="303" spans="1:2" ht="13" x14ac:dyDescent="0.15">
      <c r="A303" s="1"/>
      <c r="B303" s="1"/>
    </row>
    <row r="304" spans="1:2" ht="13" x14ac:dyDescent="0.15">
      <c r="A304" s="1"/>
      <c r="B304" s="1"/>
    </row>
    <row r="305" spans="1:2" ht="13" x14ac:dyDescent="0.15">
      <c r="A305" s="1"/>
      <c r="B305" s="1"/>
    </row>
    <row r="306" spans="1:2" ht="13" x14ac:dyDescent="0.15">
      <c r="A306" s="1"/>
      <c r="B306" s="1"/>
    </row>
    <row r="307" spans="1:2" ht="13" x14ac:dyDescent="0.15">
      <c r="A307" s="1"/>
      <c r="B307" s="1"/>
    </row>
    <row r="308" spans="1:2" ht="13" x14ac:dyDescent="0.15">
      <c r="A308" s="1"/>
      <c r="B308" s="1"/>
    </row>
    <row r="309" spans="1:2" ht="13" x14ac:dyDescent="0.15">
      <c r="A309" s="1"/>
      <c r="B309" s="1"/>
    </row>
    <row r="310" spans="1:2" ht="13" x14ac:dyDescent="0.15">
      <c r="A310" s="1"/>
      <c r="B310" s="1"/>
    </row>
    <row r="311" spans="1:2" ht="13" x14ac:dyDescent="0.15">
      <c r="A311" s="1"/>
      <c r="B311" s="1"/>
    </row>
    <row r="312" spans="1:2" ht="13" x14ac:dyDescent="0.15">
      <c r="A312" s="1"/>
      <c r="B312" s="1"/>
    </row>
    <row r="313" spans="1:2" ht="13" x14ac:dyDescent="0.15">
      <c r="A313" s="1"/>
      <c r="B313" s="1"/>
    </row>
    <row r="314" spans="1:2" ht="13" x14ac:dyDescent="0.15">
      <c r="A314" s="1"/>
      <c r="B314" s="1"/>
    </row>
    <row r="315" spans="1:2" ht="13" x14ac:dyDescent="0.15">
      <c r="A315" s="1"/>
      <c r="B315" s="1"/>
    </row>
    <row r="316" spans="1:2" ht="13" x14ac:dyDescent="0.15">
      <c r="A316" s="1"/>
      <c r="B316" s="1"/>
    </row>
    <row r="317" spans="1:2" ht="13" x14ac:dyDescent="0.15">
      <c r="A317" s="1"/>
      <c r="B317" s="1"/>
    </row>
    <row r="318" spans="1:2" ht="13" x14ac:dyDescent="0.15">
      <c r="A318" s="1"/>
      <c r="B318" s="1"/>
    </row>
    <row r="319" spans="1:2" ht="13" x14ac:dyDescent="0.15">
      <c r="A319" s="1"/>
      <c r="B319" s="1"/>
    </row>
    <row r="320" spans="1:2" ht="13" x14ac:dyDescent="0.15">
      <c r="A320" s="1"/>
      <c r="B320" s="1"/>
    </row>
    <row r="321" spans="1:2" ht="13" x14ac:dyDescent="0.15">
      <c r="A321" s="1"/>
      <c r="B321" s="1"/>
    </row>
    <row r="322" spans="1:2" ht="13" x14ac:dyDescent="0.15">
      <c r="A322" s="1"/>
      <c r="B322" s="1"/>
    </row>
    <row r="323" spans="1:2" ht="13" x14ac:dyDescent="0.15">
      <c r="A323" s="1"/>
      <c r="B323" s="1"/>
    </row>
    <row r="324" spans="1:2" ht="13" x14ac:dyDescent="0.15">
      <c r="A324" s="1"/>
      <c r="B324" s="1"/>
    </row>
    <row r="325" spans="1:2" ht="13" x14ac:dyDescent="0.15">
      <c r="A325" s="1"/>
      <c r="B325" s="1"/>
    </row>
    <row r="326" spans="1:2" ht="13" x14ac:dyDescent="0.15">
      <c r="A326" s="1"/>
      <c r="B326" s="1"/>
    </row>
    <row r="327" spans="1:2" ht="13" x14ac:dyDescent="0.15">
      <c r="A327" s="1"/>
      <c r="B327" s="1"/>
    </row>
    <row r="328" spans="1:2" ht="13" x14ac:dyDescent="0.15">
      <c r="A328" s="1"/>
      <c r="B328" s="1"/>
    </row>
    <row r="329" spans="1:2" ht="13" x14ac:dyDescent="0.15">
      <c r="A329" s="1"/>
      <c r="B329" s="1"/>
    </row>
    <row r="330" spans="1:2" ht="13" x14ac:dyDescent="0.15">
      <c r="A330" s="1"/>
      <c r="B330" s="1"/>
    </row>
    <row r="331" spans="1:2" ht="13" x14ac:dyDescent="0.15">
      <c r="A331" s="1"/>
      <c r="B331" s="1"/>
    </row>
    <row r="332" spans="1:2" ht="13" x14ac:dyDescent="0.15">
      <c r="A332" s="1"/>
      <c r="B332" s="1"/>
    </row>
    <row r="333" spans="1:2" ht="13" x14ac:dyDescent="0.15">
      <c r="A333" s="1"/>
      <c r="B333" s="1"/>
    </row>
    <row r="334" spans="1:2" ht="13" x14ac:dyDescent="0.15">
      <c r="A334" s="1"/>
      <c r="B334" s="1"/>
    </row>
    <row r="335" spans="1:2" ht="13" x14ac:dyDescent="0.15">
      <c r="A335" s="1"/>
      <c r="B335" s="1"/>
    </row>
    <row r="336" spans="1:2" ht="13" x14ac:dyDescent="0.15">
      <c r="A336" s="1"/>
      <c r="B336" s="1"/>
    </row>
    <row r="337" spans="1:2" ht="13" x14ac:dyDescent="0.15">
      <c r="A337" s="1"/>
      <c r="B337" s="1"/>
    </row>
    <row r="338" spans="1:2" ht="13" x14ac:dyDescent="0.15">
      <c r="A338" s="1"/>
      <c r="B338" s="1"/>
    </row>
    <row r="339" spans="1:2" ht="13" x14ac:dyDescent="0.15">
      <c r="A339" s="1"/>
      <c r="B339" s="1"/>
    </row>
    <row r="340" spans="1:2" ht="13" x14ac:dyDescent="0.15">
      <c r="A340" s="1"/>
      <c r="B340" s="1"/>
    </row>
    <row r="341" spans="1:2" ht="13" x14ac:dyDescent="0.15">
      <c r="A341" s="1"/>
      <c r="B341" s="1"/>
    </row>
    <row r="342" spans="1:2" ht="13" x14ac:dyDescent="0.15">
      <c r="A342" s="1"/>
      <c r="B342" s="1"/>
    </row>
    <row r="343" spans="1:2" ht="13" x14ac:dyDescent="0.15">
      <c r="A343" s="1"/>
      <c r="B343" s="1"/>
    </row>
    <row r="344" spans="1:2" ht="13" x14ac:dyDescent="0.15">
      <c r="A344" s="1"/>
      <c r="B344" s="1"/>
    </row>
    <row r="345" spans="1:2" ht="13" x14ac:dyDescent="0.15">
      <c r="A345" s="1"/>
      <c r="B345" s="1"/>
    </row>
    <row r="346" spans="1:2" ht="13" x14ac:dyDescent="0.15">
      <c r="A346" s="1"/>
      <c r="B346" s="1"/>
    </row>
    <row r="347" spans="1:2" ht="13" x14ac:dyDescent="0.15">
      <c r="A347" s="1"/>
      <c r="B347" s="1"/>
    </row>
    <row r="348" spans="1:2" ht="13" x14ac:dyDescent="0.15">
      <c r="A348" s="1"/>
      <c r="B348" s="1"/>
    </row>
    <row r="349" spans="1:2" ht="13" x14ac:dyDescent="0.15">
      <c r="A349" s="1"/>
      <c r="B349" s="1"/>
    </row>
    <row r="350" spans="1:2" ht="13" x14ac:dyDescent="0.15">
      <c r="A350" s="1"/>
      <c r="B350" s="1"/>
    </row>
    <row r="351" spans="1:2" ht="13" x14ac:dyDescent="0.15">
      <c r="A351" s="1"/>
      <c r="B351" s="1"/>
    </row>
    <row r="352" spans="1:2" ht="13" x14ac:dyDescent="0.15">
      <c r="A352" s="1"/>
      <c r="B352" s="1"/>
    </row>
    <row r="353" spans="1:2" ht="13" x14ac:dyDescent="0.15">
      <c r="A353" s="1"/>
      <c r="B353" s="1"/>
    </row>
    <row r="354" spans="1:2" ht="13" x14ac:dyDescent="0.15">
      <c r="A354" s="1"/>
      <c r="B354" s="1"/>
    </row>
    <row r="355" spans="1:2" ht="13" x14ac:dyDescent="0.15">
      <c r="A355" s="1"/>
      <c r="B355" s="1"/>
    </row>
    <row r="356" spans="1:2" ht="13" x14ac:dyDescent="0.15">
      <c r="A356" s="1"/>
      <c r="B356" s="1"/>
    </row>
    <row r="357" spans="1:2" ht="13" x14ac:dyDescent="0.15">
      <c r="A357" s="1"/>
      <c r="B357" s="1"/>
    </row>
    <row r="358" spans="1:2" ht="13" x14ac:dyDescent="0.15">
      <c r="A358" s="1"/>
      <c r="B358" s="1"/>
    </row>
    <row r="359" spans="1:2" ht="13" x14ac:dyDescent="0.15">
      <c r="A359" s="1"/>
      <c r="B359" s="1"/>
    </row>
    <row r="360" spans="1:2" ht="13" x14ac:dyDescent="0.15">
      <c r="A360" s="1"/>
      <c r="B360" s="1"/>
    </row>
    <row r="361" spans="1:2" ht="13" x14ac:dyDescent="0.15">
      <c r="A361" s="1"/>
      <c r="B361" s="1"/>
    </row>
    <row r="362" spans="1:2" ht="13" x14ac:dyDescent="0.15">
      <c r="A362" s="1"/>
      <c r="B362" s="1"/>
    </row>
    <row r="363" spans="1:2" ht="13" x14ac:dyDescent="0.15">
      <c r="A363" s="1"/>
      <c r="B363" s="1"/>
    </row>
    <row r="364" spans="1:2" ht="13" x14ac:dyDescent="0.15">
      <c r="A364" s="1"/>
      <c r="B364" s="1"/>
    </row>
    <row r="365" spans="1:2" ht="13" x14ac:dyDescent="0.15">
      <c r="A365" s="1"/>
      <c r="B365" s="1"/>
    </row>
    <row r="366" spans="1:2" ht="13" x14ac:dyDescent="0.15">
      <c r="A366" s="1"/>
      <c r="B366" s="1"/>
    </row>
    <row r="367" spans="1:2" ht="13" x14ac:dyDescent="0.15">
      <c r="A367" s="1"/>
      <c r="B367" s="1"/>
    </row>
    <row r="368" spans="1:2" ht="13" x14ac:dyDescent="0.15">
      <c r="A368" s="1"/>
      <c r="B368" s="1"/>
    </row>
    <row r="369" spans="1:2" ht="13" x14ac:dyDescent="0.15">
      <c r="A369" s="1"/>
      <c r="B369" s="1"/>
    </row>
    <row r="370" spans="1:2" ht="13" x14ac:dyDescent="0.15">
      <c r="A370" s="1"/>
      <c r="B370" s="1"/>
    </row>
    <row r="371" spans="1:2" ht="13" x14ac:dyDescent="0.15">
      <c r="A371" s="1"/>
      <c r="B371" s="1"/>
    </row>
    <row r="372" spans="1:2" ht="13" x14ac:dyDescent="0.15">
      <c r="A372" s="1"/>
      <c r="B372" s="1"/>
    </row>
    <row r="373" spans="1:2" ht="13" x14ac:dyDescent="0.15">
      <c r="A373" s="1"/>
      <c r="B373" s="1"/>
    </row>
    <row r="374" spans="1:2" ht="13" x14ac:dyDescent="0.15">
      <c r="A374" s="1"/>
      <c r="B374" s="1"/>
    </row>
    <row r="375" spans="1:2" ht="13" x14ac:dyDescent="0.15">
      <c r="A375" s="1"/>
      <c r="B375" s="1"/>
    </row>
    <row r="376" spans="1:2" ht="13" x14ac:dyDescent="0.15">
      <c r="A376" s="1"/>
      <c r="B376" s="1"/>
    </row>
    <row r="377" spans="1:2" ht="13" x14ac:dyDescent="0.15">
      <c r="A377" s="1"/>
      <c r="B377" s="1"/>
    </row>
    <row r="378" spans="1:2" ht="13" x14ac:dyDescent="0.15">
      <c r="A378" s="1"/>
      <c r="B378" s="1"/>
    </row>
    <row r="379" spans="1:2" ht="13" x14ac:dyDescent="0.15">
      <c r="A379" s="1"/>
      <c r="B379" s="1"/>
    </row>
    <row r="380" spans="1:2" ht="13" x14ac:dyDescent="0.15">
      <c r="A380" s="1"/>
      <c r="B380" s="1"/>
    </row>
    <row r="381" spans="1:2" ht="13" x14ac:dyDescent="0.15">
      <c r="A381" s="1"/>
      <c r="B381" s="1"/>
    </row>
    <row r="382" spans="1:2" ht="13" x14ac:dyDescent="0.15">
      <c r="A382" s="1"/>
      <c r="B382" s="1"/>
    </row>
    <row r="383" spans="1:2" ht="13" x14ac:dyDescent="0.15">
      <c r="A383" s="1"/>
      <c r="B383" s="1"/>
    </row>
    <row r="384" spans="1:2" ht="13" x14ac:dyDescent="0.15">
      <c r="A384" s="1"/>
      <c r="B384" s="1"/>
    </row>
    <row r="385" spans="1:2" ht="13" x14ac:dyDescent="0.15">
      <c r="A385" s="1"/>
      <c r="B385" s="1"/>
    </row>
    <row r="386" spans="1:2" ht="13" x14ac:dyDescent="0.15">
      <c r="A386" s="1"/>
      <c r="B386" s="1"/>
    </row>
    <row r="387" spans="1:2" ht="13" x14ac:dyDescent="0.15">
      <c r="A387" s="1"/>
      <c r="B387" s="1"/>
    </row>
    <row r="388" spans="1:2" ht="13" x14ac:dyDescent="0.15">
      <c r="A388" s="1"/>
      <c r="B388" s="1"/>
    </row>
    <row r="389" spans="1:2" ht="13" x14ac:dyDescent="0.15">
      <c r="A389" s="1"/>
      <c r="B389" s="1"/>
    </row>
    <row r="390" spans="1:2" ht="13" x14ac:dyDescent="0.15">
      <c r="A390" s="1"/>
      <c r="B390" s="1"/>
    </row>
    <row r="391" spans="1:2" ht="13" x14ac:dyDescent="0.15">
      <c r="A391" s="1"/>
      <c r="B391" s="1"/>
    </row>
    <row r="392" spans="1:2" ht="13" x14ac:dyDescent="0.15">
      <c r="A392" s="1"/>
      <c r="B392" s="1"/>
    </row>
    <row r="393" spans="1:2" ht="13" x14ac:dyDescent="0.15">
      <c r="A393" s="1"/>
      <c r="B393" s="1"/>
    </row>
    <row r="394" spans="1:2" ht="13" x14ac:dyDescent="0.15">
      <c r="A394" s="1"/>
      <c r="B394" s="1"/>
    </row>
    <row r="395" spans="1:2" ht="13" x14ac:dyDescent="0.15">
      <c r="A395" s="1"/>
      <c r="B395" s="1"/>
    </row>
    <row r="396" spans="1:2" ht="13" x14ac:dyDescent="0.15">
      <c r="A396" s="1"/>
      <c r="B396" s="1"/>
    </row>
    <row r="397" spans="1:2" ht="13" x14ac:dyDescent="0.15">
      <c r="A397" s="1"/>
      <c r="B397" s="1"/>
    </row>
    <row r="398" spans="1:2" ht="13" x14ac:dyDescent="0.15">
      <c r="A398" s="1"/>
      <c r="B398" s="1"/>
    </row>
    <row r="399" spans="1:2" ht="13" x14ac:dyDescent="0.15">
      <c r="A399" s="1"/>
      <c r="B399" s="1"/>
    </row>
    <row r="400" spans="1:2" ht="13" x14ac:dyDescent="0.15">
      <c r="A400" s="1"/>
      <c r="B400" s="1"/>
    </row>
    <row r="401" spans="1:2" ht="13" x14ac:dyDescent="0.15">
      <c r="A401" s="1"/>
      <c r="B401" s="1"/>
    </row>
    <row r="402" spans="1:2" ht="13" x14ac:dyDescent="0.15">
      <c r="A402" s="1"/>
      <c r="B402" s="1"/>
    </row>
    <row r="403" spans="1:2" ht="13" x14ac:dyDescent="0.15">
      <c r="A403" s="1"/>
      <c r="B403" s="1"/>
    </row>
    <row r="404" spans="1:2" ht="13" x14ac:dyDescent="0.15">
      <c r="A404" s="1"/>
      <c r="B404" s="1"/>
    </row>
    <row r="405" spans="1:2" ht="13" x14ac:dyDescent="0.15">
      <c r="A405" s="1"/>
      <c r="B405" s="1"/>
    </row>
    <row r="406" spans="1:2" ht="13" x14ac:dyDescent="0.15">
      <c r="A406" s="1"/>
      <c r="B406" s="1"/>
    </row>
    <row r="407" spans="1:2" ht="13" x14ac:dyDescent="0.15">
      <c r="A407" s="1"/>
      <c r="B407" s="1"/>
    </row>
    <row r="408" spans="1:2" ht="13" x14ac:dyDescent="0.15">
      <c r="A408" s="1"/>
      <c r="B408" s="1"/>
    </row>
    <row r="409" spans="1:2" ht="13" x14ac:dyDescent="0.15">
      <c r="A409" s="1"/>
      <c r="B409" s="1"/>
    </row>
    <row r="410" spans="1:2" ht="13" x14ac:dyDescent="0.15">
      <c r="A410" s="1"/>
      <c r="B410" s="1"/>
    </row>
    <row r="411" spans="1:2" ht="13" x14ac:dyDescent="0.15">
      <c r="A411" s="1"/>
      <c r="B411" s="1"/>
    </row>
    <row r="412" spans="1:2" ht="13" x14ac:dyDescent="0.15">
      <c r="A412" s="1"/>
      <c r="B412" s="1"/>
    </row>
    <row r="413" spans="1:2" ht="13" x14ac:dyDescent="0.15">
      <c r="A413" s="1"/>
      <c r="B413" s="1"/>
    </row>
    <row r="414" spans="1:2" ht="13" x14ac:dyDescent="0.15">
      <c r="A414" s="1"/>
      <c r="B414" s="1"/>
    </row>
    <row r="415" spans="1:2" ht="13" x14ac:dyDescent="0.15">
      <c r="A415" s="1"/>
      <c r="B415" s="1"/>
    </row>
    <row r="416" spans="1:2" ht="13" x14ac:dyDescent="0.15">
      <c r="A416" s="1"/>
      <c r="B416" s="1"/>
    </row>
    <row r="417" spans="1:2" ht="13" x14ac:dyDescent="0.15">
      <c r="A417" s="1"/>
      <c r="B417" s="1"/>
    </row>
    <row r="418" spans="1:2" ht="13" x14ac:dyDescent="0.15">
      <c r="A418" s="1"/>
      <c r="B418" s="1"/>
    </row>
    <row r="419" spans="1:2" ht="13" x14ac:dyDescent="0.15">
      <c r="A419" s="1"/>
      <c r="B419" s="1"/>
    </row>
    <row r="420" spans="1:2" ht="13" x14ac:dyDescent="0.15">
      <c r="A420" s="1"/>
      <c r="B420" s="1"/>
    </row>
    <row r="421" spans="1:2" ht="13" x14ac:dyDescent="0.15">
      <c r="A421" s="1"/>
      <c r="B421" s="1"/>
    </row>
    <row r="422" spans="1:2" ht="13" x14ac:dyDescent="0.15">
      <c r="A422" s="1"/>
      <c r="B422" s="1"/>
    </row>
    <row r="423" spans="1:2" ht="13" x14ac:dyDescent="0.15">
      <c r="A423" s="1"/>
      <c r="B423" s="1"/>
    </row>
    <row r="424" spans="1:2" ht="13" x14ac:dyDescent="0.15">
      <c r="A424" s="1"/>
      <c r="B424" s="1"/>
    </row>
    <row r="425" spans="1:2" ht="13" x14ac:dyDescent="0.15">
      <c r="A425" s="1"/>
      <c r="B425" s="1"/>
    </row>
    <row r="426" spans="1:2" ht="13" x14ac:dyDescent="0.15">
      <c r="A426" s="1"/>
      <c r="B426" s="1"/>
    </row>
    <row r="427" spans="1:2" ht="13" x14ac:dyDescent="0.15">
      <c r="A427" s="1"/>
      <c r="B427" s="1"/>
    </row>
    <row r="428" spans="1:2" ht="13" x14ac:dyDescent="0.15">
      <c r="A428" s="1"/>
      <c r="B428" s="1"/>
    </row>
    <row r="429" spans="1:2" ht="13" x14ac:dyDescent="0.15">
      <c r="A429" s="1"/>
      <c r="B429" s="1"/>
    </row>
    <row r="430" spans="1:2" ht="13" x14ac:dyDescent="0.15">
      <c r="A430" s="1"/>
      <c r="B430" s="1"/>
    </row>
    <row r="431" spans="1:2" ht="13" x14ac:dyDescent="0.15">
      <c r="A431" s="1"/>
      <c r="B431" s="1"/>
    </row>
    <row r="432" spans="1:2" ht="13" x14ac:dyDescent="0.15">
      <c r="A432" s="1"/>
      <c r="B432" s="1"/>
    </row>
    <row r="433" spans="1:2" ht="13" x14ac:dyDescent="0.15">
      <c r="A433" s="1"/>
      <c r="B433" s="1"/>
    </row>
    <row r="434" spans="1:2" ht="13" x14ac:dyDescent="0.15">
      <c r="A434" s="1"/>
      <c r="B434" s="1"/>
    </row>
    <row r="435" spans="1:2" ht="13" x14ac:dyDescent="0.15">
      <c r="A435" s="1"/>
      <c r="B435" s="1"/>
    </row>
    <row r="436" spans="1:2" ht="13" x14ac:dyDescent="0.15">
      <c r="A436" s="1"/>
      <c r="B436" s="1"/>
    </row>
    <row r="437" spans="1:2" ht="13" x14ac:dyDescent="0.15">
      <c r="A437" s="1"/>
      <c r="B437" s="1"/>
    </row>
    <row r="438" spans="1:2" ht="13" x14ac:dyDescent="0.15">
      <c r="A438" s="1"/>
      <c r="B438" s="1"/>
    </row>
    <row r="439" spans="1:2" ht="13" x14ac:dyDescent="0.15">
      <c r="A439" s="1"/>
      <c r="B439" s="1"/>
    </row>
    <row r="440" spans="1:2" ht="13" x14ac:dyDescent="0.15">
      <c r="A440" s="1"/>
      <c r="B440" s="1"/>
    </row>
    <row r="441" spans="1:2" ht="13" x14ac:dyDescent="0.15">
      <c r="A441" s="1"/>
      <c r="B441" s="1"/>
    </row>
    <row r="442" spans="1:2" ht="13" x14ac:dyDescent="0.15">
      <c r="A442" s="1"/>
      <c r="B442" s="1"/>
    </row>
    <row r="443" spans="1:2" ht="13" x14ac:dyDescent="0.15">
      <c r="A443" s="1"/>
      <c r="B443" s="1"/>
    </row>
    <row r="444" spans="1:2" ht="13" x14ac:dyDescent="0.15">
      <c r="A444" s="1"/>
      <c r="B444" s="1"/>
    </row>
    <row r="445" spans="1:2" ht="13" x14ac:dyDescent="0.15">
      <c r="A445" s="1"/>
      <c r="B445" s="1"/>
    </row>
    <row r="446" spans="1:2" ht="13" x14ac:dyDescent="0.15">
      <c r="A446" s="1"/>
      <c r="B446" s="1"/>
    </row>
    <row r="447" spans="1:2" ht="13" x14ac:dyDescent="0.15">
      <c r="A447" s="1"/>
      <c r="B447" s="1"/>
    </row>
    <row r="448" spans="1:2" ht="13" x14ac:dyDescent="0.15">
      <c r="A448" s="1"/>
      <c r="B448" s="1"/>
    </row>
    <row r="449" spans="1:2" ht="13" x14ac:dyDescent="0.15">
      <c r="A449" s="1"/>
      <c r="B449" s="1"/>
    </row>
    <row r="450" spans="1:2" ht="13" x14ac:dyDescent="0.15">
      <c r="A450" s="1"/>
      <c r="B450" s="1"/>
    </row>
    <row r="451" spans="1:2" ht="13" x14ac:dyDescent="0.15">
      <c r="A451" s="1"/>
      <c r="B451" s="1"/>
    </row>
    <row r="452" spans="1:2" ht="13" x14ac:dyDescent="0.15">
      <c r="A452" s="1"/>
      <c r="B452" s="1"/>
    </row>
    <row r="453" spans="1:2" ht="13" x14ac:dyDescent="0.15">
      <c r="A453" s="1"/>
      <c r="B453" s="1"/>
    </row>
    <row r="454" spans="1:2" ht="13" x14ac:dyDescent="0.15">
      <c r="A454" s="1"/>
      <c r="B454" s="1"/>
    </row>
    <row r="455" spans="1:2" ht="13" x14ac:dyDescent="0.15">
      <c r="A455" s="1"/>
      <c r="B455" s="1"/>
    </row>
    <row r="456" spans="1:2" ht="13" x14ac:dyDescent="0.15">
      <c r="A456" s="1"/>
      <c r="B456" s="1"/>
    </row>
    <row r="457" spans="1:2" ht="13" x14ac:dyDescent="0.15">
      <c r="A457" s="1"/>
      <c r="B457" s="1"/>
    </row>
    <row r="458" spans="1:2" ht="13" x14ac:dyDescent="0.15">
      <c r="A458" s="1"/>
      <c r="B458" s="1"/>
    </row>
    <row r="459" spans="1:2" ht="13" x14ac:dyDescent="0.15">
      <c r="A459" s="1"/>
      <c r="B459" s="1"/>
    </row>
    <row r="460" spans="1:2" ht="13" x14ac:dyDescent="0.15">
      <c r="A460" s="1"/>
      <c r="B460" s="1"/>
    </row>
    <row r="461" spans="1:2" ht="13" x14ac:dyDescent="0.15">
      <c r="A461" s="1"/>
      <c r="B461" s="1"/>
    </row>
    <row r="462" spans="1:2" ht="13" x14ac:dyDescent="0.15">
      <c r="A462" s="1"/>
      <c r="B462" s="1"/>
    </row>
    <row r="463" spans="1:2" ht="13" x14ac:dyDescent="0.15">
      <c r="A463" s="1"/>
      <c r="B463" s="1"/>
    </row>
    <row r="464" spans="1:2" ht="13" x14ac:dyDescent="0.15">
      <c r="A464" s="1"/>
      <c r="B464" s="1"/>
    </row>
    <row r="465" spans="1:2" ht="13" x14ac:dyDescent="0.15">
      <c r="A465" s="1"/>
      <c r="B465" s="1"/>
    </row>
    <row r="466" spans="1:2" ht="13" x14ac:dyDescent="0.15">
      <c r="A466" s="1"/>
      <c r="B466" s="1"/>
    </row>
    <row r="467" spans="1:2" ht="13" x14ac:dyDescent="0.15">
      <c r="A467" s="1"/>
      <c r="B467" s="1"/>
    </row>
    <row r="468" spans="1:2" ht="13" x14ac:dyDescent="0.15">
      <c r="A468" s="1"/>
      <c r="B468" s="1"/>
    </row>
    <row r="469" spans="1:2" ht="13" x14ac:dyDescent="0.15">
      <c r="A469" s="1"/>
      <c r="B469" s="1"/>
    </row>
    <row r="470" spans="1:2" ht="13" x14ac:dyDescent="0.15">
      <c r="A470" s="1"/>
      <c r="B470" s="1"/>
    </row>
    <row r="471" spans="1:2" ht="13" x14ac:dyDescent="0.15">
      <c r="A471" s="1"/>
      <c r="B471" s="1"/>
    </row>
    <row r="472" spans="1:2" ht="13" x14ac:dyDescent="0.15">
      <c r="A472" s="1"/>
      <c r="B472" s="1"/>
    </row>
    <row r="473" spans="1:2" ht="13" x14ac:dyDescent="0.15">
      <c r="A473" s="1"/>
      <c r="B473" s="1"/>
    </row>
    <row r="474" spans="1:2" ht="13" x14ac:dyDescent="0.15">
      <c r="A474" s="1"/>
      <c r="B474" s="1"/>
    </row>
    <row r="475" spans="1:2" ht="13" x14ac:dyDescent="0.15">
      <c r="A475" s="1"/>
      <c r="B475" s="1"/>
    </row>
    <row r="476" spans="1:2" ht="13" x14ac:dyDescent="0.15">
      <c r="A476" s="1"/>
      <c r="B476" s="1"/>
    </row>
    <row r="477" spans="1:2" ht="13" x14ac:dyDescent="0.15">
      <c r="A477" s="1"/>
      <c r="B477" s="1"/>
    </row>
    <row r="478" spans="1:2" ht="13" x14ac:dyDescent="0.15">
      <c r="A478" s="1"/>
      <c r="B478" s="1"/>
    </row>
    <row r="479" spans="1:2" ht="13" x14ac:dyDescent="0.15">
      <c r="A479" s="1"/>
      <c r="B479" s="1"/>
    </row>
    <row r="480" spans="1:2" ht="13" x14ac:dyDescent="0.15">
      <c r="A480" s="1"/>
      <c r="B480" s="1"/>
    </row>
    <row r="481" spans="1:2" ht="13" x14ac:dyDescent="0.15">
      <c r="A481" s="1"/>
      <c r="B481" s="1"/>
    </row>
    <row r="482" spans="1:2" ht="13" x14ac:dyDescent="0.15">
      <c r="A482" s="1"/>
      <c r="B482" s="1"/>
    </row>
    <row r="483" spans="1:2" ht="13" x14ac:dyDescent="0.15">
      <c r="A483" s="1"/>
      <c r="B483" s="1"/>
    </row>
    <row r="484" spans="1:2" ht="13" x14ac:dyDescent="0.15">
      <c r="A484" s="1"/>
      <c r="B484" s="1"/>
    </row>
    <row r="485" spans="1:2" ht="13" x14ac:dyDescent="0.15">
      <c r="A485" s="1"/>
      <c r="B485" s="1"/>
    </row>
    <row r="486" spans="1:2" ht="13" x14ac:dyDescent="0.15">
      <c r="A486" s="1"/>
      <c r="B486" s="1"/>
    </row>
    <row r="487" spans="1:2" ht="13" x14ac:dyDescent="0.15">
      <c r="A487" s="1"/>
      <c r="B487" s="1"/>
    </row>
    <row r="488" spans="1:2" ht="13" x14ac:dyDescent="0.15">
      <c r="A488" s="1"/>
      <c r="B488" s="1"/>
    </row>
    <row r="489" spans="1:2" ht="13" x14ac:dyDescent="0.15">
      <c r="A489" s="1"/>
      <c r="B489" s="1"/>
    </row>
    <row r="490" spans="1:2" ht="13" x14ac:dyDescent="0.15">
      <c r="A490" s="1"/>
      <c r="B490" s="1"/>
    </row>
    <row r="491" spans="1:2" ht="13" x14ac:dyDescent="0.15">
      <c r="A491" s="1"/>
      <c r="B491" s="1"/>
    </row>
    <row r="492" spans="1:2" ht="13" x14ac:dyDescent="0.15">
      <c r="A492" s="1"/>
      <c r="B492" s="1"/>
    </row>
    <row r="493" spans="1:2" ht="13" x14ac:dyDescent="0.15">
      <c r="A493" s="1"/>
      <c r="B493" s="1"/>
    </row>
    <row r="494" spans="1:2" ht="13" x14ac:dyDescent="0.15">
      <c r="A494" s="1"/>
      <c r="B494" s="1"/>
    </row>
    <row r="495" spans="1:2" ht="13" x14ac:dyDescent="0.15">
      <c r="A495" s="1"/>
      <c r="B495" s="1"/>
    </row>
    <row r="496" spans="1:2" ht="13" x14ac:dyDescent="0.15">
      <c r="A496" s="1"/>
      <c r="B496" s="1"/>
    </row>
    <row r="497" spans="1:2" ht="13" x14ac:dyDescent="0.15">
      <c r="A497" s="1"/>
      <c r="B497" s="1"/>
    </row>
    <row r="498" spans="1:2" ht="13" x14ac:dyDescent="0.15">
      <c r="A498" s="1"/>
      <c r="B498" s="1"/>
    </row>
    <row r="499" spans="1:2" ht="13" x14ac:dyDescent="0.15">
      <c r="A499" s="1"/>
      <c r="B499" s="1"/>
    </row>
    <row r="500" spans="1:2" ht="13" x14ac:dyDescent="0.15">
      <c r="A500" s="1"/>
      <c r="B500" s="1"/>
    </row>
    <row r="501" spans="1:2" ht="13" x14ac:dyDescent="0.15">
      <c r="A501" s="1"/>
      <c r="B501" s="1"/>
    </row>
    <row r="502" spans="1:2" ht="13" x14ac:dyDescent="0.15">
      <c r="A502" s="1"/>
      <c r="B502" s="1"/>
    </row>
    <row r="503" spans="1:2" ht="13" x14ac:dyDescent="0.15">
      <c r="A503" s="1"/>
      <c r="B503" s="1"/>
    </row>
    <row r="504" spans="1:2" ht="13" x14ac:dyDescent="0.15">
      <c r="A504" s="1"/>
      <c r="B504" s="1"/>
    </row>
    <row r="505" spans="1:2" ht="13" x14ac:dyDescent="0.15">
      <c r="A505" s="1"/>
      <c r="B505" s="1"/>
    </row>
    <row r="506" spans="1:2" ht="13" x14ac:dyDescent="0.15">
      <c r="A506" s="1"/>
      <c r="B506" s="1"/>
    </row>
    <row r="507" spans="1:2" ht="13" x14ac:dyDescent="0.15">
      <c r="A507" s="1"/>
      <c r="B507" s="1"/>
    </row>
    <row r="508" spans="1:2" ht="13" x14ac:dyDescent="0.15">
      <c r="A508" s="1"/>
      <c r="B508" s="1"/>
    </row>
    <row r="509" spans="1:2" ht="13" x14ac:dyDescent="0.15">
      <c r="A509" s="1"/>
      <c r="B509" s="1"/>
    </row>
    <row r="510" spans="1:2" ht="13" x14ac:dyDescent="0.15">
      <c r="A510" s="1"/>
      <c r="B510" s="1"/>
    </row>
    <row r="511" spans="1:2" ht="13" x14ac:dyDescent="0.15">
      <c r="A511" s="1"/>
      <c r="B511" s="1"/>
    </row>
    <row r="512" spans="1:2" ht="13" x14ac:dyDescent="0.15">
      <c r="A512" s="1"/>
      <c r="B512" s="1"/>
    </row>
    <row r="513" spans="1:2" ht="13" x14ac:dyDescent="0.15">
      <c r="A513" s="1"/>
      <c r="B513" s="1"/>
    </row>
    <row r="514" spans="1:2" ht="13" x14ac:dyDescent="0.15">
      <c r="A514" s="1"/>
      <c r="B514" s="1"/>
    </row>
    <row r="515" spans="1:2" ht="13" x14ac:dyDescent="0.15">
      <c r="A515" s="1"/>
      <c r="B515" s="1"/>
    </row>
    <row r="516" spans="1:2" ht="13" x14ac:dyDescent="0.15">
      <c r="A516" s="1"/>
      <c r="B516" s="1"/>
    </row>
    <row r="517" spans="1:2" ht="13" x14ac:dyDescent="0.15">
      <c r="A517" s="1"/>
      <c r="B517" s="1"/>
    </row>
    <row r="518" spans="1:2" ht="13" x14ac:dyDescent="0.15">
      <c r="A518" s="1"/>
      <c r="B518" s="1"/>
    </row>
    <row r="519" spans="1:2" ht="13" x14ac:dyDescent="0.15">
      <c r="A519" s="1"/>
      <c r="B519" s="1"/>
    </row>
    <row r="520" spans="1:2" ht="13" x14ac:dyDescent="0.15">
      <c r="A520" s="1"/>
      <c r="B520" s="1"/>
    </row>
    <row r="521" spans="1:2" ht="13" x14ac:dyDescent="0.15">
      <c r="A521" s="1"/>
      <c r="B521" s="1"/>
    </row>
    <row r="522" spans="1:2" ht="13" x14ac:dyDescent="0.15">
      <c r="A522" s="1"/>
      <c r="B522" s="1"/>
    </row>
    <row r="523" spans="1:2" ht="13" x14ac:dyDescent="0.15">
      <c r="A523" s="1"/>
      <c r="B523" s="1"/>
    </row>
    <row r="524" spans="1:2" ht="13" x14ac:dyDescent="0.15">
      <c r="A524" s="1"/>
      <c r="B524" s="1"/>
    </row>
    <row r="525" spans="1:2" ht="13" x14ac:dyDescent="0.15">
      <c r="A525" s="1"/>
      <c r="B525" s="1"/>
    </row>
    <row r="526" spans="1:2" ht="13" x14ac:dyDescent="0.15">
      <c r="A526" s="1"/>
      <c r="B526" s="1"/>
    </row>
    <row r="527" spans="1:2" ht="13" x14ac:dyDescent="0.15">
      <c r="A527" s="1"/>
      <c r="B527" s="1"/>
    </row>
    <row r="528" spans="1:2" ht="13" x14ac:dyDescent="0.15">
      <c r="A528" s="1"/>
      <c r="B528" s="1"/>
    </row>
    <row r="529" spans="1:2" ht="13" x14ac:dyDescent="0.15">
      <c r="A529" s="1"/>
      <c r="B529" s="1"/>
    </row>
    <row r="530" spans="1:2" ht="13" x14ac:dyDescent="0.15">
      <c r="A530" s="1"/>
      <c r="B530" s="1"/>
    </row>
    <row r="531" spans="1:2" ht="13" x14ac:dyDescent="0.15">
      <c r="A531" s="1"/>
      <c r="B531" s="1"/>
    </row>
    <row r="532" spans="1:2" ht="13" x14ac:dyDescent="0.15">
      <c r="A532" s="1"/>
      <c r="B532" s="1"/>
    </row>
    <row r="533" spans="1:2" ht="13" x14ac:dyDescent="0.15">
      <c r="A533" s="1"/>
      <c r="B533" s="1"/>
    </row>
    <row r="534" spans="1:2" ht="13" x14ac:dyDescent="0.15">
      <c r="A534" s="1"/>
      <c r="B534" s="1"/>
    </row>
    <row r="535" spans="1:2" ht="13" x14ac:dyDescent="0.15">
      <c r="A535" s="1"/>
      <c r="B535" s="1"/>
    </row>
    <row r="536" spans="1:2" ht="13" x14ac:dyDescent="0.15">
      <c r="A536" s="1"/>
      <c r="B536" s="1"/>
    </row>
    <row r="537" spans="1:2" ht="13" x14ac:dyDescent="0.15">
      <c r="A537" s="1"/>
      <c r="B537" s="1"/>
    </row>
    <row r="538" spans="1:2" ht="13" x14ac:dyDescent="0.15">
      <c r="A538" s="1"/>
      <c r="B538" s="1"/>
    </row>
    <row r="539" spans="1:2" ht="13" x14ac:dyDescent="0.15">
      <c r="A539" s="1"/>
      <c r="B539" s="1"/>
    </row>
    <row r="540" spans="1:2" ht="13" x14ac:dyDescent="0.15">
      <c r="A540" s="1"/>
      <c r="B540" s="1"/>
    </row>
    <row r="541" spans="1:2" ht="13" x14ac:dyDescent="0.15">
      <c r="A541" s="1"/>
      <c r="B541" s="1"/>
    </row>
    <row r="542" spans="1:2" ht="13" x14ac:dyDescent="0.15">
      <c r="A542" s="1"/>
      <c r="B542" s="1"/>
    </row>
    <row r="543" spans="1:2" ht="13" x14ac:dyDescent="0.15">
      <c r="A543" s="1"/>
      <c r="B543" s="1"/>
    </row>
    <row r="544" spans="1:2" ht="13" x14ac:dyDescent="0.15">
      <c r="A544" s="1"/>
      <c r="B544" s="1"/>
    </row>
    <row r="545" spans="1:2" ht="13" x14ac:dyDescent="0.15">
      <c r="A545" s="1"/>
      <c r="B545" s="1"/>
    </row>
    <row r="546" spans="1:2" ht="13" x14ac:dyDescent="0.15">
      <c r="A546" s="1"/>
      <c r="B546" s="1"/>
    </row>
    <row r="547" spans="1:2" ht="13" x14ac:dyDescent="0.15">
      <c r="A547" s="1"/>
      <c r="B547" s="1"/>
    </row>
    <row r="548" spans="1:2" ht="13" x14ac:dyDescent="0.15">
      <c r="A548" s="1"/>
      <c r="B548" s="1"/>
    </row>
    <row r="549" spans="1:2" ht="13" x14ac:dyDescent="0.15">
      <c r="A549" s="1"/>
      <c r="B549" s="1"/>
    </row>
    <row r="550" spans="1:2" ht="13" x14ac:dyDescent="0.15">
      <c r="A550" s="1"/>
      <c r="B550" s="1"/>
    </row>
    <row r="551" spans="1:2" ht="13" x14ac:dyDescent="0.15">
      <c r="A551" s="1"/>
      <c r="B551" s="1"/>
    </row>
    <row r="552" spans="1:2" ht="13" x14ac:dyDescent="0.15">
      <c r="A552" s="1"/>
      <c r="B552" s="1"/>
    </row>
    <row r="553" spans="1:2" ht="13" x14ac:dyDescent="0.15">
      <c r="A553" s="1"/>
      <c r="B553" s="1"/>
    </row>
    <row r="554" spans="1:2" ht="13" x14ac:dyDescent="0.15">
      <c r="A554" s="1"/>
      <c r="B554" s="1"/>
    </row>
    <row r="555" spans="1:2" ht="13" x14ac:dyDescent="0.15">
      <c r="A555" s="1"/>
      <c r="B555" s="1"/>
    </row>
    <row r="556" spans="1:2" ht="13" x14ac:dyDescent="0.15">
      <c r="A556" s="1"/>
      <c r="B556" s="1"/>
    </row>
    <row r="557" spans="1:2" ht="13" x14ac:dyDescent="0.15">
      <c r="A557" s="1"/>
      <c r="B557" s="1"/>
    </row>
    <row r="558" spans="1:2" ht="13" x14ac:dyDescent="0.15">
      <c r="A558" s="1"/>
      <c r="B558" s="1"/>
    </row>
    <row r="559" spans="1:2" ht="13" x14ac:dyDescent="0.15">
      <c r="A559" s="1"/>
      <c r="B559" s="1"/>
    </row>
    <row r="560" spans="1:2" ht="13" x14ac:dyDescent="0.15">
      <c r="A560" s="1"/>
      <c r="B560" s="1"/>
    </row>
    <row r="561" spans="1:2" ht="13" x14ac:dyDescent="0.15">
      <c r="A561" s="1"/>
      <c r="B561" s="1"/>
    </row>
    <row r="562" spans="1:2" ht="13" x14ac:dyDescent="0.15">
      <c r="A562" s="1"/>
      <c r="B562" s="1"/>
    </row>
    <row r="563" spans="1:2" ht="13" x14ac:dyDescent="0.15">
      <c r="A563" s="1"/>
      <c r="B563" s="1"/>
    </row>
    <row r="564" spans="1:2" ht="13" x14ac:dyDescent="0.15">
      <c r="A564" s="1"/>
      <c r="B564" s="1"/>
    </row>
    <row r="565" spans="1:2" ht="13" x14ac:dyDescent="0.15">
      <c r="A565" s="1"/>
      <c r="B565" s="1"/>
    </row>
    <row r="566" spans="1:2" ht="13" x14ac:dyDescent="0.15">
      <c r="A566" s="1"/>
      <c r="B566" s="1"/>
    </row>
    <row r="567" spans="1:2" ht="13" x14ac:dyDescent="0.15">
      <c r="A567" s="1"/>
      <c r="B567" s="1"/>
    </row>
    <row r="568" spans="1:2" ht="13" x14ac:dyDescent="0.15">
      <c r="A568" s="1"/>
      <c r="B568" s="1"/>
    </row>
    <row r="569" spans="1:2" ht="13" x14ac:dyDescent="0.15">
      <c r="A569" s="1"/>
      <c r="B569" s="1"/>
    </row>
    <row r="570" spans="1:2" ht="13" x14ac:dyDescent="0.15">
      <c r="A570" s="1"/>
      <c r="B570" s="1"/>
    </row>
    <row r="571" spans="1:2" ht="13" x14ac:dyDescent="0.15">
      <c r="A571" s="1"/>
      <c r="B571" s="1"/>
    </row>
    <row r="572" spans="1:2" ht="13" x14ac:dyDescent="0.15">
      <c r="A572" s="1"/>
      <c r="B572" s="1"/>
    </row>
    <row r="573" spans="1:2" ht="13" x14ac:dyDescent="0.15">
      <c r="A573" s="1"/>
      <c r="B573" s="1"/>
    </row>
    <row r="574" spans="1:2" ht="13" x14ac:dyDescent="0.15">
      <c r="A574" s="1"/>
      <c r="B574" s="1"/>
    </row>
    <row r="575" spans="1:2" ht="13" x14ac:dyDescent="0.15">
      <c r="A575" s="1"/>
      <c r="B575" s="1"/>
    </row>
    <row r="576" spans="1:2" ht="13" x14ac:dyDescent="0.15">
      <c r="A576" s="1"/>
      <c r="B576" s="1"/>
    </row>
    <row r="577" spans="1:2" ht="13" x14ac:dyDescent="0.15">
      <c r="A577" s="1"/>
      <c r="B577" s="1"/>
    </row>
    <row r="578" spans="1:2" ht="13" x14ac:dyDescent="0.15">
      <c r="A578" s="1"/>
      <c r="B578" s="1"/>
    </row>
    <row r="579" spans="1:2" ht="13" x14ac:dyDescent="0.15">
      <c r="A579" s="1"/>
      <c r="B579" s="1"/>
    </row>
    <row r="580" spans="1:2" ht="13" x14ac:dyDescent="0.15">
      <c r="A580" s="1"/>
      <c r="B580" s="1"/>
    </row>
    <row r="581" spans="1:2" ht="13" x14ac:dyDescent="0.15">
      <c r="A581" s="1"/>
      <c r="B581" s="1"/>
    </row>
    <row r="582" spans="1:2" ht="13" x14ac:dyDescent="0.15">
      <c r="A582" s="1"/>
      <c r="B582" s="1"/>
    </row>
    <row r="583" spans="1:2" ht="13" x14ac:dyDescent="0.15">
      <c r="A583" s="1"/>
      <c r="B583" s="1"/>
    </row>
    <row r="584" spans="1:2" ht="13" x14ac:dyDescent="0.15">
      <c r="A584" s="1"/>
      <c r="B584" s="1"/>
    </row>
    <row r="585" spans="1:2" ht="13" x14ac:dyDescent="0.15">
      <c r="A585" s="1"/>
      <c r="B585" s="1"/>
    </row>
    <row r="586" spans="1:2" ht="13" x14ac:dyDescent="0.15">
      <c r="A586" s="1"/>
      <c r="B586" s="1"/>
    </row>
    <row r="587" spans="1:2" ht="13" x14ac:dyDescent="0.15">
      <c r="A587" s="1"/>
      <c r="B587" s="1"/>
    </row>
    <row r="588" spans="1:2" ht="13" x14ac:dyDescent="0.15">
      <c r="A588" s="1"/>
      <c r="B588" s="1"/>
    </row>
    <row r="589" spans="1:2" ht="13" x14ac:dyDescent="0.15">
      <c r="A589" s="1"/>
      <c r="B589" s="1"/>
    </row>
    <row r="590" spans="1:2" ht="13" x14ac:dyDescent="0.15">
      <c r="A590" s="1"/>
      <c r="B590" s="1"/>
    </row>
    <row r="591" spans="1:2" ht="13" x14ac:dyDescent="0.15">
      <c r="A591" s="1"/>
      <c r="B591" s="1"/>
    </row>
    <row r="592" spans="1:2" ht="13" x14ac:dyDescent="0.15">
      <c r="A592" s="1"/>
      <c r="B592" s="1"/>
    </row>
    <row r="593" spans="1:2" ht="13" x14ac:dyDescent="0.15">
      <c r="A593" s="1"/>
      <c r="B593" s="1"/>
    </row>
    <row r="594" spans="1:2" ht="13" x14ac:dyDescent="0.15">
      <c r="A594" s="1"/>
      <c r="B594" s="1"/>
    </row>
    <row r="595" spans="1:2" ht="13" x14ac:dyDescent="0.15">
      <c r="A595" s="1"/>
      <c r="B595" s="1"/>
    </row>
    <row r="596" spans="1:2" ht="13" x14ac:dyDescent="0.15">
      <c r="A596" s="1"/>
      <c r="B596" s="1"/>
    </row>
    <row r="597" spans="1:2" ht="13" x14ac:dyDescent="0.15">
      <c r="A597" s="1"/>
      <c r="B597" s="1"/>
    </row>
    <row r="598" spans="1:2" ht="13" x14ac:dyDescent="0.15">
      <c r="A598" s="1"/>
      <c r="B598" s="1"/>
    </row>
    <row r="599" spans="1:2" ht="13" x14ac:dyDescent="0.15">
      <c r="A599" s="1"/>
      <c r="B599" s="1"/>
    </row>
    <row r="600" spans="1:2" ht="13" x14ac:dyDescent="0.15">
      <c r="A600" s="1"/>
      <c r="B600" s="1"/>
    </row>
    <row r="601" spans="1:2" ht="13" x14ac:dyDescent="0.15">
      <c r="A601" s="1"/>
      <c r="B601" s="1"/>
    </row>
    <row r="602" spans="1:2" ht="13" x14ac:dyDescent="0.15">
      <c r="A602" s="1"/>
      <c r="B602" s="1"/>
    </row>
    <row r="603" spans="1:2" ht="13" x14ac:dyDescent="0.15">
      <c r="A603" s="1"/>
      <c r="B603" s="1"/>
    </row>
    <row r="604" spans="1:2" ht="13" x14ac:dyDescent="0.15">
      <c r="A604" s="1"/>
      <c r="B604" s="1"/>
    </row>
    <row r="605" spans="1:2" ht="13" x14ac:dyDescent="0.15">
      <c r="A605" s="1"/>
      <c r="B605" s="1"/>
    </row>
    <row r="606" spans="1:2" ht="13" x14ac:dyDescent="0.15">
      <c r="A606" s="1"/>
      <c r="B606" s="1"/>
    </row>
    <row r="607" spans="1:2" ht="13" x14ac:dyDescent="0.15">
      <c r="A607" s="1"/>
      <c r="B607" s="1"/>
    </row>
    <row r="608" spans="1:2" ht="13" x14ac:dyDescent="0.15">
      <c r="A608" s="1"/>
      <c r="B608" s="1"/>
    </row>
    <row r="609" spans="1:2" ht="13" x14ac:dyDescent="0.15">
      <c r="A609" s="1"/>
      <c r="B609" s="1"/>
    </row>
    <row r="610" spans="1:2" ht="13" x14ac:dyDescent="0.15">
      <c r="A610" s="1"/>
      <c r="B610" s="1"/>
    </row>
    <row r="611" spans="1:2" ht="13" x14ac:dyDescent="0.15">
      <c r="A611" s="1"/>
      <c r="B611" s="1"/>
    </row>
    <row r="612" spans="1:2" ht="13" x14ac:dyDescent="0.15">
      <c r="A612" s="1"/>
      <c r="B612" s="1"/>
    </row>
    <row r="613" spans="1:2" ht="13" x14ac:dyDescent="0.15">
      <c r="A613" s="1"/>
      <c r="B613" s="1"/>
    </row>
    <row r="614" spans="1:2" ht="13" x14ac:dyDescent="0.15">
      <c r="A614" s="1"/>
      <c r="B614" s="1"/>
    </row>
    <row r="615" spans="1:2" ht="13" x14ac:dyDescent="0.15">
      <c r="A615" s="1"/>
      <c r="B615" s="1"/>
    </row>
    <row r="616" spans="1:2" ht="13" x14ac:dyDescent="0.15">
      <c r="A616" s="1"/>
      <c r="B616" s="1"/>
    </row>
    <row r="617" spans="1:2" ht="13" x14ac:dyDescent="0.15">
      <c r="A617" s="1"/>
      <c r="B617" s="1"/>
    </row>
    <row r="618" spans="1:2" ht="13" x14ac:dyDescent="0.15">
      <c r="A618" s="1"/>
      <c r="B618" s="1"/>
    </row>
    <row r="619" spans="1:2" ht="13" x14ac:dyDescent="0.15">
      <c r="A619" s="1"/>
      <c r="B619" s="1"/>
    </row>
    <row r="620" spans="1:2" ht="13" x14ac:dyDescent="0.15">
      <c r="A620" s="1"/>
      <c r="B620" s="1"/>
    </row>
    <row r="621" spans="1:2" ht="13" x14ac:dyDescent="0.15">
      <c r="A621" s="1"/>
      <c r="B621" s="1"/>
    </row>
    <row r="622" spans="1:2" ht="13" x14ac:dyDescent="0.15">
      <c r="A622" s="1"/>
      <c r="B622" s="1"/>
    </row>
    <row r="623" spans="1:2" ht="13" x14ac:dyDescent="0.15">
      <c r="A623" s="1"/>
      <c r="B623" s="1"/>
    </row>
    <row r="624" spans="1:2" ht="13" x14ac:dyDescent="0.15">
      <c r="A624" s="1"/>
      <c r="B624" s="1"/>
    </row>
    <row r="625" spans="1:2" ht="13" x14ac:dyDescent="0.15">
      <c r="A625" s="1"/>
      <c r="B625" s="1"/>
    </row>
    <row r="626" spans="1:2" ht="13" x14ac:dyDescent="0.15">
      <c r="A626" s="1"/>
      <c r="B626" s="1"/>
    </row>
    <row r="627" spans="1:2" ht="13" x14ac:dyDescent="0.15">
      <c r="A627" s="1"/>
      <c r="B627" s="1"/>
    </row>
    <row r="628" spans="1:2" ht="13" x14ac:dyDescent="0.15">
      <c r="A628" s="1"/>
      <c r="B628" s="1"/>
    </row>
    <row r="629" spans="1:2" ht="13" x14ac:dyDescent="0.15">
      <c r="A629" s="1"/>
      <c r="B629" s="1"/>
    </row>
    <row r="630" spans="1:2" ht="13" x14ac:dyDescent="0.15">
      <c r="A630" s="1"/>
      <c r="B630" s="1"/>
    </row>
    <row r="631" spans="1:2" ht="13" x14ac:dyDescent="0.15">
      <c r="A631" s="1"/>
      <c r="B631" s="1"/>
    </row>
    <row r="632" spans="1:2" ht="13" x14ac:dyDescent="0.15">
      <c r="A632" s="1"/>
      <c r="B632" s="1"/>
    </row>
    <row r="633" spans="1:2" ht="13" x14ac:dyDescent="0.15">
      <c r="A633" s="1"/>
      <c r="B633" s="1"/>
    </row>
    <row r="634" spans="1:2" ht="13" x14ac:dyDescent="0.15">
      <c r="A634" s="1"/>
      <c r="B634" s="1"/>
    </row>
    <row r="635" spans="1:2" ht="13" x14ac:dyDescent="0.15">
      <c r="A635" s="1"/>
      <c r="B635" s="1"/>
    </row>
    <row r="636" spans="1:2" ht="13" x14ac:dyDescent="0.15">
      <c r="A636" s="1"/>
      <c r="B636" s="1"/>
    </row>
    <row r="637" spans="1:2" ht="13" x14ac:dyDescent="0.15">
      <c r="A637" s="1"/>
      <c r="B637" s="1"/>
    </row>
    <row r="638" spans="1:2" ht="13" x14ac:dyDescent="0.15">
      <c r="A638" s="1"/>
      <c r="B638" s="1"/>
    </row>
    <row r="639" spans="1:2" ht="13" x14ac:dyDescent="0.15">
      <c r="A639" s="1"/>
      <c r="B639" s="1"/>
    </row>
    <row r="640" spans="1:2" ht="13" x14ac:dyDescent="0.15">
      <c r="A640" s="1"/>
      <c r="B640" s="1"/>
    </row>
    <row r="641" spans="1:2" ht="13" x14ac:dyDescent="0.15">
      <c r="A641" s="1"/>
      <c r="B641" s="1"/>
    </row>
    <row r="642" spans="1:2" ht="13" x14ac:dyDescent="0.15">
      <c r="A642" s="1"/>
      <c r="B642" s="1"/>
    </row>
    <row r="643" spans="1:2" ht="13" x14ac:dyDescent="0.15">
      <c r="A643" s="1"/>
      <c r="B643" s="1"/>
    </row>
    <row r="644" spans="1:2" ht="13" x14ac:dyDescent="0.15">
      <c r="A644" s="1"/>
      <c r="B644" s="1"/>
    </row>
    <row r="645" spans="1:2" ht="13" x14ac:dyDescent="0.15">
      <c r="A645" s="1"/>
      <c r="B645" s="1"/>
    </row>
    <row r="646" spans="1:2" ht="13" x14ac:dyDescent="0.15">
      <c r="A646" s="1"/>
      <c r="B646" s="1"/>
    </row>
    <row r="647" spans="1:2" ht="13" x14ac:dyDescent="0.15">
      <c r="A647" s="1"/>
      <c r="B647" s="1"/>
    </row>
    <row r="648" spans="1:2" ht="13" x14ac:dyDescent="0.15">
      <c r="A648" s="1"/>
      <c r="B648" s="1"/>
    </row>
    <row r="649" spans="1:2" ht="13" x14ac:dyDescent="0.15">
      <c r="A649" s="1"/>
      <c r="B649" s="1"/>
    </row>
    <row r="650" spans="1:2" ht="13" x14ac:dyDescent="0.15">
      <c r="A650" s="1"/>
      <c r="B650" s="1"/>
    </row>
    <row r="651" spans="1:2" ht="13" x14ac:dyDescent="0.15">
      <c r="A651" s="1"/>
      <c r="B651" s="1"/>
    </row>
    <row r="652" spans="1:2" ht="13" x14ac:dyDescent="0.15">
      <c r="A652" s="1"/>
      <c r="B652" s="1"/>
    </row>
    <row r="653" spans="1:2" ht="13" x14ac:dyDescent="0.15">
      <c r="A653" s="1"/>
      <c r="B653" s="1"/>
    </row>
    <row r="654" spans="1:2" ht="13" x14ac:dyDescent="0.15">
      <c r="A654" s="1"/>
      <c r="B654" s="1"/>
    </row>
    <row r="655" spans="1:2" ht="13" x14ac:dyDescent="0.15">
      <c r="A655" s="1"/>
      <c r="B655" s="1"/>
    </row>
    <row r="656" spans="1:2" ht="13" x14ac:dyDescent="0.15">
      <c r="A656" s="1"/>
      <c r="B656" s="1"/>
    </row>
    <row r="657" spans="1:2" ht="13" x14ac:dyDescent="0.15">
      <c r="A657" s="1"/>
      <c r="B657" s="1"/>
    </row>
    <row r="658" spans="1:2" ht="13" x14ac:dyDescent="0.15">
      <c r="A658" s="1"/>
      <c r="B658" s="1"/>
    </row>
    <row r="659" spans="1:2" ht="13" x14ac:dyDescent="0.15">
      <c r="A659" s="1"/>
      <c r="B659" s="1"/>
    </row>
    <row r="660" spans="1:2" ht="13" x14ac:dyDescent="0.15">
      <c r="A660" s="1"/>
      <c r="B660" s="1"/>
    </row>
    <row r="661" spans="1:2" ht="13" x14ac:dyDescent="0.15">
      <c r="A661" s="1"/>
      <c r="B661" s="1"/>
    </row>
    <row r="662" spans="1:2" ht="13" x14ac:dyDescent="0.15">
      <c r="A662" s="1"/>
      <c r="B662" s="1"/>
    </row>
    <row r="663" spans="1:2" ht="13" x14ac:dyDescent="0.15">
      <c r="A663" s="1"/>
      <c r="B663" s="1"/>
    </row>
    <row r="664" spans="1:2" ht="13" x14ac:dyDescent="0.15">
      <c r="A664" s="1"/>
      <c r="B664" s="1"/>
    </row>
    <row r="665" spans="1:2" ht="13" x14ac:dyDescent="0.15">
      <c r="A665" s="1"/>
      <c r="B665" s="1"/>
    </row>
    <row r="666" spans="1:2" ht="13" x14ac:dyDescent="0.15">
      <c r="A666" s="1"/>
      <c r="B666" s="1"/>
    </row>
    <row r="667" spans="1:2" ht="13" x14ac:dyDescent="0.15">
      <c r="A667" s="1"/>
      <c r="B667" s="1"/>
    </row>
    <row r="668" spans="1:2" ht="13" x14ac:dyDescent="0.15">
      <c r="A668" s="1"/>
      <c r="B668" s="1"/>
    </row>
    <row r="669" spans="1:2" ht="13" x14ac:dyDescent="0.15">
      <c r="A669" s="1"/>
      <c r="B669" s="1"/>
    </row>
    <row r="670" spans="1:2" ht="13" x14ac:dyDescent="0.15">
      <c r="A670" s="1"/>
      <c r="B670" s="1"/>
    </row>
    <row r="671" spans="1:2" ht="13" x14ac:dyDescent="0.15">
      <c r="A671" s="1"/>
      <c r="B671" s="1"/>
    </row>
    <row r="672" spans="1:2" ht="13" x14ac:dyDescent="0.15">
      <c r="A672" s="1"/>
      <c r="B672" s="1"/>
    </row>
    <row r="673" spans="1:2" ht="13" x14ac:dyDescent="0.15">
      <c r="A673" s="1"/>
      <c r="B673" s="1"/>
    </row>
    <row r="674" spans="1:2" ht="13" x14ac:dyDescent="0.15">
      <c r="A674" s="1"/>
      <c r="B674" s="1"/>
    </row>
    <row r="675" spans="1:2" ht="13" x14ac:dyDescent="0.15">
      <c r="A675" s="1"/>
      <c r="B675" s="1"/>
    </row>
    <row r="676" spans="1:2" ht="13" x14ac:dyDescent="0.15">
      <c r="A676" s="1"/>
      <c r="B676" s="1"/>
    </row>
    <row r="677" spans="1:2" ht="13" x14ac:dyDescent="0.15">
      <c r="A677" s="1"/>
      <c r="B677" s="1"/>
    </row>
    <row r="678" spans="1:2" ht="13" x14ac:dyDescent="0.15">
      <c r="A678" s="1"/>
      <c r="B678" s="1"/>
    </row>
    <row r="679" spans="1:2" ht="13" x14ac:dyDescent="0.15">
      <c r="A679" s="1"/>
      <c r="B679" s="1"/>
    </row>
    <row r="680" spans="1:2" ht="13" x14ac:dyDescent="0.15">
      <c r="A680" s="1"/>
      <c r="B680" s="1"/>
    </row>
    <row r="681" spans="1:2" ht="13" x14ac:dyDescent="0.15">
      <c r="A681" s="1"/>
      <c r="B681" s="1"/>
    </row>
    <row r="682" spans="1:2" ht="13" x14ac:dyDescent="0.15">
      <c r="A682" s="1"/>
      <c r="B682" s="1"/>
    </row>
    <row r="683" spans="1:2" ht="13" x14ac:dyDescent="0.15">
      <c r="A683" s="1"/>
      <c r="B683" s="1"/>
    </row>
    <row r="684" spans="1:2" ht="13" x14ac:dyDescent="0.15">
      <c r="A684" s="1"/>
      <c r="B684" s="1"/>
    </row>
    <row r="685" spans="1:2" ht="13" x14ac:dyDescent="0.15">
      <c r="A685" s="1"/>
      <c r="B685" s="1"/>
    </row>
    <row r="686" spans="1:2" ht="13" x14ac:dyDescent="0.15">
      <c r="A686" s="1"/>
      <c r="B686" s="1"/>
    </row>
    <row r="687" spans="1:2" ht="13" x14ac:dyDescent="0.15">
      <c r="A687" s="1"/>
      <c r="B687" s="1"/>
    </row>
    <row r="688" spans="1:2" ht="13" x14ac:dyDescent="0.15">
      <c r="A688" s="1"/>
      <c r="B688" s="1"/>
    </row>
    <row r="689" spans="1:2" ht="13" x14ac:dyDescent="0.15">
      <c r="A689" s="1"/>
      <c r="B689" s="1"/>
    </row>
    <row r="690" spans="1:2" ht="13" x14ac:dyDescent="0.15">
      <c r="A690" s="1"/>
      <c r="B690" s="1"/>
    </row>
    <row r="691" spans="1:2" ht="13" x14ac:dyDescent="0.15">
      <c r="A691" s="1"/>
      <c r="B691" s="1"/>
    </row>
    <row r="692" spans="1:2" ht="13" x14ac:dyDescent="0.15">
      <c r="A692" s="1"/>
      <c r="B692" s="1"/>
    </row>
    <row r="693" spans="1:2" ht="13" x14ac:dyDescent="0.15">
      <c r="A693" s="1"/>
      <c r="B693" s="1"/>
    </row>
    <row r="694" spans="1:2" ht="13" x14ac:dyDescent="0.15">
      <c r="A694" s="1"/>
      <c r="B694" s="1"/>
    </row>
    <row r="695" spans="1:2" ht="13" x14ac:dyDescent="0.15">
      <c r="A695" s="1"/>
      <c r="B695" s="1"/>
    </row>
    <row r="696" spans="1:2" ht="13" x14ac:dyDescent="0.15">
      <c r="A696" s="1"/>
      <c r="B696" s="1"/>
    </row>
    <row r="697" spans="1:2" ht="13" x14ac:dyDescent="0.15">
      <c r="A697" s="1"/>
      <c r="B697" s="1"/>
    </row>
    <row r="698" spans="1:2" ht="13" x14ac:dyDescent="0.15">
      <c r="A698" s="1"/>
      <c r="B698" s="1"/>
    </row>
    <row r="699" spans="1:2" ht="13" x14ac:dyDescent="0.15">
      <c r="A699" s="1"/>
      <c r="B699" s="1"/>
    </row>
    <row r="700" spans="1:2" ht="13" x14ac:dyDescent="0.15">
      <c r="A700" s="1"/>
      <c r="B700" s="1"/>
    </row>
    <row r="701" spans="1:2" ht="13" x14ac:dyDescent="0.15">
      <c r="A701" s="1"/>
      <c r="B701" s="1"/>
    </row>
    <row r="702" spans="1:2" ht="13" x14ac:dyDescent="0.15">
      <c r="A702" s="1"/>
      <c r="B702" s="1"/>
    </row>
    <row r="703" spans="1:2" ht="13" x14ac:dyDescent="0.15">
      <c r="A703" s="1"/>
      <c r="B703" s="1"/>
    </row>
    <row r="704" spans="1:2" ht="13" x14ac:dyDescent="0.15">
      <c r="A704" s="1"/>
      <c r="B704" s="1"/>
    </row>
    <row r="705" spans="1:2" ht="13" x14ac:dyDescent="0.15">
      <c r="A705" s="1"/>
      <c r="B705" s="1"/>
    </row>
    <row r="706" spans="1:2" ht="13" x14ac:dyDescent="0.15">
      <c r="A706" s="1"/>
      <c r="B706" s="1"/>
    </row>
    <row r="707" spans="1:2" ht="13" x14ac:dyDescent="0.15">
      <c r="A707" s="1"/>
      <c r="B707" s="1"/>
    </row>
    <row r="708" spans="1:2" ht="13" x14ac:dyDescent="0.15">
      <c r="A708" s="1"/>
      <c r="B708" s="1"/>
    </row>
    <row r="709" spans="1:2" ht="13" x14ac:dyDescent="0.15">
      <c r="A709" s="1"/>
      <c r="B709" s="1"/>
    </row>
    <row r="710" spans="1:2" ht="13" x14ac:dyDescent="0.15">
      <c r="A710" s="1"/>
      <c r="B710" s="1"/>
    </row>
    <row r="711" spans="1:2" ht="13" x14ac:dyDescent="0.15">
      <c r="A711" s="1"/>
      <c r="B711" s="1"/>
    </row>
    <row r="712" spans="1:2" ht="13" x14ac:dyDescent="0.15">
      <c r="A712" s="1"/>
      <c r="B712" s="1"/>
    </row>
    <row r="713" spans="1:2" ht="13" x14ac:dyDescent="0.15">
      <c r="A713" s="1"/>
      <c r="B713" s="1"/>
    </row>
    <row r="714" spans="1:2" ht="13" x14ac:dyDescent="0.15">
      <c r="A714" s="1"/>
      <c r="B714" s="1"/>
    </row>
    <row r="715" spans="1:2" ht="13" x14ac:dyDescent="0.15">
      <c r="A715" s="1"/>
      <c r="B715" s="1"/>
    </row>
    <row r="716" spans="1:2" ht="13" x14ac:dyDescent="0.15">
      <c r="A716" s="1"/>
      <c r="B716" s="1"/>
    </row>
    <row r="717" spans="1:2" ht="13" x14ac:dyDescent="0.15">
      <c r="A717" s="1"/>
      <c r="B717" s="1"/>
    </row>
    <row r="718" spans="1:2" ht="13" x14ac:dyDescent="0.15">
      <c r="A718" s="1"/>
      <c r="B718" s="1"/>
    </row>
    <row r="719" spans="1:2" ht="13" x14ac:dyDescent="0.15">
      <c r="A719" s="1"/>
      <c r="B719" s="1"/>
    </row>
    <row r="720" spans="1:2" ht="13" x14ac:dyDescent="0.15">
      <c r="A720" s="1"/>
      <c r="B720" s="1"/>
    </row>
    <row r="721" spans="1:2" ht="13" x14ac:dyDescent="0.15">
      <c r="A721" s="1"/>
      <c r="B721" s="1"/>
    </row>
    <row r="722" spans="1:2" ht="13" x14ac:dyDescent="0.15">
      <c r="A722" s="1"/>
      <c r="B722" s="1"/>
    </row>
    <row r="723" spans="1:2" ht="13" x14ac:dyDescent="0.15">
      <c r="A723" s="1"/>
      <c r="B723" s="1"/>
    </row>
    <row r="724" spans="1:2" ht="13" x14ac:dyDescent="0.15">
      <c r="A724" s="1"/>
      <c r="B724" s="1"/>
    </row>
    <row r="725" spans="1:2" ht="13" x14ac:dyDescent="0.15">
      <c r="A725" s="1"/>
      <c r="B725" s="1"/>
    </row>
    <row r="726" spans="1:2" ht="13" x14ac:dyDescent="0.15">
      <c r="A726" s="1"/>
      <c r="B726" s="1"/>
    </row>
    <row r="727" spans="1:2" ht="13" x14ac:dyDescent="0.15">
      <c r="A727" s="1"/>
      <c r="B727" s="1"/>
    </row>
    <row r="728" spans="1:2" ht="13" x14ac:dyDescent="0.15">
      <c r="A728" s="1"/>
      <c r="B728" s="1"/>
    </row>
    <row r="729" spans="1:2" ht="13" x14ac:dyDescent="0.15">
      <c r="A729" s="1"/>
      <c r="B729" s="1"/>
    </row>
    <row r="730" spans="1:2" ht="13" x14ac:dyDescent="0.15">
      <c r="A730" s="1"/>
      <c r="B730" s="1"/>
    </row>
    <row r="731" spans="1:2" ht="13" x14ac:dyDescent="0.15">
      <c r="A731" s="1"/>
      <c r="B731" s="1"/>
    </row>
    <row r="732" spans="1:2" ht="13" x14ac:dyDescent="0.15">
      <c r="A732" s="1"/>
      <c r="B732" s="1"/>
    </row>
    <row r="733" spans="1:2" ht="13" x14ac:dyDescent="0.15">
      <c r="A733" s="1"/>
      <c r="B733" s="1"/>
    </row>
    <row r="734" spans="1:2" ht="13" x14ac:dyDescent="0.15">
      <c r="A734" s="1"/>
      <c r="B734" s="1"/>
    </row>
    <row r="735" spans="1:2" ht="13" x14ac:dyDescent="0.15">
      <c r="A735" s="1"/>
      <c r="B735" s="1"/>
    </row>
    <row r="736" spans="1:2" ht="13" x14ac:dyDescent="0.15">
      <c r="A736" s="1"/>
      <c r="B736" s="1"/>
    </row>
    <row r="737" spans="1:2" ht="13" x14ac:dyDescent="0.15">
      <c r="A737" s="1"/>
      <c r="B737" s="1"/>
    </row>
    <row r="738" spans="1:2" ht="13" x14ac:dyDescent="0.15">
      <c r="A738" s="1"/>
      <c r="B738" s="1"/>
    </row>
    <row r="739" spans="1:2" ht="13" x14ac:dyDescent="0.15">
      <c r="A739" s="1"/>
      <c r="B739" s="1"/>
    </row>
    <row r="740" spans="1:2" ht="13" x14ac:dyDescent="0.15">
      <c r="A740" s="1"/>
      <c r="B740" s="1"/>
    </row>
    <row r="741" spans="1:2" ht="13" x14ac:dyDescent="0.15">
      <c r="A741" s="1"/>
      <c r="B741" s="1"/>
    </row>
    <row r="742" spans="1:2" ht="13" x14ac:dyDescent="0.15">
      <c r="A742" s="1"/>
      <c r="B742" s="1"/>
    </row>
    <row r="743" spans="1:2" ht="13" x14ac:dyDescent="0.15">
      <c r="A743" s="1"/>
      <c r="B743" s="1"/>
    </row>
    <row r="744" spans="1:2" ht="13" x14ac:dyDescent="0.15">
      <c r="A744" s="1"/>
      <c r="B744" s="1"/>
    </row>
    <row r="745" spans="1:2" ht="13" x14ac:dyDescent="0.15">
      <c r="A745" s="1"/>
      <c r="B745" s="1"/>
    </row>
    <row r="746" spans="1:2" ht="13" x14ac:dyDescent="0.15">
      <c r="A746" s="1"/>
      <c r="B746" s="1"/>
    </row>
    <row r="747" spans="1:2" ht="13" x14ac:dyDescent="0.15">
      <c r="A747" s="1"/>
      <c r="B747" s="1"/>
    </row>
    <row r="748" spans="1:2" ht="13" x14ac:dyDescent="0.15">
      <c r="A748" s="1"/>
      <c r="B748" s="1"/>
    </row>
    <row r="749" spans="1:2" ht="13" x14ac:dyDescent="0.15">
      <c r="A749" s="1"/>
      <c r="B749" s="1"/>
    </row>
    <row r="750" spans="1:2" ht="13" x14ac:dyDescent="0.15">
      <c r="A750" s="1"/>
      <c r="B750" s="1"/>
    </row>
    <row r="751" spans="1:2" ht="13" x14ac:dyDescent="0.15">
      <c r="A751" s="1"/>
      <c r="B751" s="1"/>
    </row>
    <row r="752" spans="1:2" ht="13" x14ac:dyDescent="0.15">
      <c r="A752" s="1"/>
      <c r="B752" s="1"/>
    </row>
    <row r="753" spans="1:2" ht="13" x14ac:dyDescent="0.15">
      <c r="A753" s="1"/>
      <c r="B753" s="1"/>
    </row>
    <row r="754" spans="1:2" ht="13" x14ac:dyDescent="0.15">
      <c r="A754" s="1"/>
      <c r="B754" s="1"/>
    </row>
    <row r="755" spans="1:2" ht="13" x14ac:dyDescent="0.15">
      <c r="A755" s="1"/>
      <c r="B755" s="1"/>
    </row>
    <row r="756" spans="1:2" ht="13" x14ac:dyDescent="0.15">
      <c r="A756" s="1"/>
      <c r="B756" s="1"/>
    </row>
    <row r="757" spans="1:2" ht="13" x14ac:dyDescent="0.15">
      <c r="A757" s="1"/>
      <c r="B757" s="1"/>
    </row>
    <row r="758" spans="1:2" ht="13" x14ac:dyDescent="0.15">
      <c r="A758" s="1"/>
      <c r="B758" s="1"/>
    </row>
    <row r="759" spans="1:2" ht="13" x14ac:dyDescent="0.15">
      <c r="A759" s="1"/>
      <c r="B759" s="1"/>
    </row>
    <row r="760" spans="1:2" ht="13" x14ac:dyDescent="0.15">
      <c r="A760" s="1"/>
      <c r="B760" s="1"/>
    </row>
    <row r="761" spans="1:2" ht="13" x14ac:dyDescent="0.15">
      <c r="A761" s="1"/>
      <c r="B761" s="1"/>
    </row>
    <row r="762" spans="1:2" ht="13" x14ac:dyDescent="0.15">
      <c r="A762" s="1"/>
      <c r="B762" s="1"/>
    </row>
    <row r="763" spans="1:2" ht="13" x14ac:dyDescent="0.15">
      <c r="A763" s="1"/>
      <c r="B763" s="1"/>
    </row>
    <row r="764" spans="1:2" ht="13" x14ac:dyDescent="0.15">
      <c r="A764" s="1"/>
      <c r="B764" s="1"/>
    </row>
    <row r="765" spans="1:2" ht="13" x14ac:dyDescent="0.15">
      <c r="A765" s="1"/>
      <c r="B765" s="1"/>
    </row>
    <row r="766" spans="1:2" ht="13" x14ac:dyDescent="0.15">
      <c r="A766" s="1"/>
      <c r="B766" s="1"/>
    </row>
    <row r="767" spans="1:2" ht="13" x14ac:dyDescent="0.15">
      <c r="A767" s="1"/>
      <c r="B767" s="1"/>
    </row>
    <row r="768" spans="1:2" ht="13" x14ac:dyDescent="0.15">
      <c r="A768" s="1"/>
      <c r="B768" s="1"/>
    </row>
    <row r="769" spans="1:2" ht="13" x14ac:dyDescent="0.15">
      <c r="A769" s="1"/>
      <c r="B769" s="1"/>
    </row>
    <row r="770" spans="1:2" ht="13" x14ac:dyDescent="0.15">
      <c r="A770" s="1"/>
      <c r="B770" s="1"/>
    </row>
    <row r="771" spans="1:2" ht="13" x14ac:dyDescent="0.15">
      <c r="A771" s="1"/>
      <c r="B771" s="1"/>
    </row>
    <row r="772" spans="1:2" ht="13" x14ac:dyDescent="0.15">
      <c r="A772" s="1"/>
      <c r="B772" s="1"/>
    </row>
    <row r="773" spans="1:2" ht="13" x14ac:dyDescent="0.15">
      <c r="A773" s="1"/>
      <c r="B773" s="1"/>
    </row>
    <row r="774" spans="1:2" ht="13" x14ac:dyDescent="0.15">
      <c r="A774" s="1"/>
      <c r="B774" s="1"/>
    </row>
    <row r="775" spans="1:2" ht="13" x14ac:dyDescent="0.15">
      <c r="A775" s="1"/>
      <c r="B775" s="1"/>
    </row>
    <row r="776" spans="1:2" ht="13" x14ac:dyDescent="0.15">
      <c r="A776" s="1"/>
      <c r="B776" s="1"/>
    </row>
    <row r="777" spans="1:2" ht="13" x14ac:dyDescent="0.15">
      <c r="A777" s="1"/>
      <c r="B777" s="1"/>
    </row>
    <row r="778" spans="1:2" ht="13" x14ac:dyDescent="0.15">
      <c r="A778" s="1"/>
      <c r="B778" s="1"/>
    </row>
    <row r="779" spans="1:2" ht="13" x14ac:dyDescent="0.15">
      <c r="A779" s="1"/>
      <c r="B779" s="1"/>
    </row>
    <row r="780" spans="1:2" ht="13" x14ac:dyDescent="0.15">
      <c r="A780" s="1"/>
      <c r="B780" s="1"/>
    </row>
    <row r="781" spans="1:2" ht="13" x14ac:dyDescent="0.15">
      <c r="A781" s="1"/>
      <c r="B781" s="1"/>
    </row>
    <row r="782" spans="1:2" ht="13" x14ac:dyDescent="0.15">
      <c r="A782" s="1"/>
      <c r="B782" s="1"/>
    </row>
    <row r="783" spans="1:2" ht="13" x14ac:dyDescent="0.15">
      <c r="A783" s="1"/>
      <c r="B783" s="1"/>
    </row>
    <row r="784" spans="1:2" ht="13" x14ac:dyDescent="0.15">
      <c r="A784" s="1"/>
      <c r="B784" s="1"/>
    </row>
    <row r="785" spans="1:2" ht="13" x14ac:dyDescent="0.15">
      <c r="A785" s="1"/>
      <c r="B785" s="1"/>
    </row>
    <row r="786" spans="1:2" ht="13" x14ac:dyDescent="0.15">
      <c r="A786" s="1"/>
      <c r="B786" s="1"/>
    </row>
    <row r="787" spans="1:2" ht="13" x14ac:dyDescent="0.15">
      <c r="A787" s="1"/>
      <c r="B787" s="1"/>
    </row>
    <row r="788" spans="1:2" ht="13" x14ac:dyDescent="0.15">
      <c r="A788" s="1"/>
      <c r="B788" s="1"/>
    </row>
    <row r="789" spans="1:2" ht="13" x14ac:dyDescent="0.15">
      <c r="A789" s="1"/>
      <c r="B789" s="1"/>
    </row>
    <row r="790" spans="1:2" ht="13" x14ac:dyDescent="0.15">
      <c r="A790" s="1"/>
      <c r="B790" s="1"/>
    </row>
    <row r="791" spans="1:2" ht="13" x14ac:dyDescent="0.15">
      <c r="A791" s="1"/>
      <c r="B791" s="1"/>
    </row>
    <row r="792" spans="1:2" ht="13" x14ac:dyDescent="0.15">
      <c r="A792" s="1"/>
      <c r="B792" s="1"/>
    </row>
    <row r="793" spans="1:2" ht="13" x14ac:dyDescent="0.15">
      <c r="A793" s="1"/>
      <c r="B793" s="1"/>
    </row>
    <row r="794" spans="1:2" ht="13" x14ac:dyDescent="0.15">
      <c r="A794" s="1"/>
      <c r="B794" s="1"/>
    </row>
    <row r="795" spans="1:2" ht="13" x14ac:dyDescent="0.15">
      <c r="A795" s="1"/>
      <c r="B795" s="1"/>
    </row>
    <row r="796" spans="1:2" ht="13" x14ac:dyDescent="0.15">
      <c r="A796" s="1"/>
      <c r="B796" s="1"/>
    </row>
    <row r="797" spans="1:2" ht="13" x14ac:dyDescent="0.15">
      <c r="A797" s="1"/>
      <c r="B797" s="1"/>
    </row>
    <row r="798" spans="1:2" ht="13" x14ac:dyDescent="0.15">
      <c r="A798" s="1"/>
      <c r="B798" s="1"/>
    </row>
    <row r="799" spans="1:2" ht="13" x14ac:dyDescent="0.15">
      <c r="A799" s="1"/>
      <c r="B799" s="1"/>
    </row>
    <row r="800" spans="1:2" ht="13" x14ac:dyDescent="0.15">
      <c r="A800" s="1"/>
      <c r="B800" s="1"/>
    </row>
    <row r="801" spans="1:13" ht="13" x14ac:dyDescent="0.15">
      <c r="A801" s="1"/>
      <c r="B801" s="1"/>
    </row>
    <row r="802" spans="1:13" ht="13" x14ac:dyDescent="0.15">
      <c r="A802" s="1"/>
      <c r="B802" s="1"/>
    </row>
    <row r="803" spans="1:13" ht="13" x14ac:dyDescent="0.15">
      <c r="A803" s="1"/>
      <c r="B803" s="1"/>
    </row>
    <row r="804" spans="1:13" ht="13" x14ac:dyDescent="0.15">
      <c r="A804" s="1"/>
      <c r="B804" s="1"/>
    </row>
    <row r="805" spans="1:13" ht="13" x14ac:dyDescent="0.15">
      <c r="A805" s="1"/>
      <c r="B805" s="1"/>
    </row>
    <row r="806" spans="1:13" ht="13" x14ac:dyDescent="0.15">
      <c r="A806" s="1"/>
      <c r="B806" s="1"/>
    </row>
    <row r="807" spans="1:13" ht="13" x14ac:dyDescent="0.15">
      <c r="A807" s="1"/>
      <c r="B807" s="1"/>
    </row>
    <row r="808" spans="1:13" ht="13" x14ac:dyDescent="0.15">
      <c r="A808" s="1"/>
      <c r="B808" s="1"/>
    </row>
    <row r="809" spans="1:13" ht="13" x14ac:dyDescent="0.15">
      <c r="A809" s="1"/>
      <c r="B809" s="1"/>
    </row>
    <row r="810" spans="1:13" ht="13" x14ac:dyDescent="0.15">
      <c r="A810" s="1"/>
      <c r="B810" s="1"/>
    </row>
    <row r="811" spans="1:13" ht="13" x14ac:dyDescent="0.15">
      <c r="A811" s="1"/>
      <c r="B811" s="1"/>
    </row>
    <row r="812" spans="1:13" ht="13" x14ac:dyDescent="0.15">
      <c r="A812" s="1"/>
      <c r="B812" s="1"/>
      <c r="K812" s="3"/>
      <c r="L812" s="3"/>
      <c r="M812" s="3"/>
    </row>
  </sheetData>
  <autoFilter ref="A4:AI4" xr:uid="{00000000-0001-0000-0000-000000000000}"/>
  <mergeCells count="4">
    <mergeCell ref="T3:AI3"/>
    <mergeCell ref="B3:S3"/>
    <mergeCell ref="A1:A3"/>
    <mergeCell ref="B1:AI2"/>
  </mergeCells>
  <phoneticPr fontId="12" type="noConversion"/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7A5E19-A88A-1C44-8BDC-65B8695C97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Table</vt:lpstr>
      <vt:lpstr>Valuation Bins</vt:lpstr>
      <vt:lpstr>Portfolio Metrics</vt:lpstr>
      <vt:lpstr>Yearly IRR</vt:lpstr>
      <vt:lpstr>IRR</vt:lpstr>
      <vt:lpstr>US CPI</vt:lpstr>
      <vt:lpstr>SP500</vt:lpstr>
      <vt:lpstr>FX GBP USD</vt:lpstr>
      <vt:lpstr>FX EUR USD</vt:lpstr>
      <vt:lpstr>Randomized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 Rustagi</cp:lastModifiedBy>
  <dcterms:created xsi:type="dcterms:W3CDTF">2023-07-13T23:57:49Z</dcterms:created>
  <dcterms:modified xsi:type="dcterms:W3CDTF">2025-11-09T06:57:50Z</dcterms:modified>
</cp:coreProperties>
</file>